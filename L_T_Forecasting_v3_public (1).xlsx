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RATHAM\Downloads\CSA ADVISOR\"/>
    </mc:Choice>
  </mc:AlternateContent>
  <xr:revisionPtr revIDLastSave="0" documentId="13_ncr:1_{B6165A31-8398-4585-8712-254286897A9F}" xr6:coauthVersionLast="47" xr6:coauthVersionMax="47" xr10:uidLastSave="{00000000-0000-0000-0000-000000000000}"/>
  <bookViews>
    <workbookView xWindow="-108" yWindow="-108" windowWidth="23256" windowHeight="12456" tabRatio="500" firstSheet="14" activeTab="18" xr2:uid="{00000000-000D-0000-FFFF-FFFF00000000}"/>
  </bookViews>
  <sheets>
    <sheet name="About the company " sheetId="1" r:id="rId1"/>
    <sheet name="Promoter" sheetId="2" r:id="rId2"/>
    <sheet name="Public" sheetId="3" r:id="rId3"/>
    <sheet name="Consolidated P&amp;L" sheetId="4" r:id="rId4"/>
    <sheet name="Consolidated Balance sheet" sheetId="5" r:id="rId5"/>
    <sheet name="Consolidated Cash flow " sheetId="6" r:id="rId6"/>
    <sheet name="Consolidated Quarterly Result" sheetId="7" r:id="rId7"/>
    <sheet name="Beta" sheetId="8" r:id="rId8"/>
    <sheet name="Wacc" sheetId="9" r:id="rId9"/>
    <sheet name="Ratio Analysis" sheetId="10" r:id="rId10"/>
    <sheet name="FCFF" sheetId="11" r:id="rId11"/>
    <sheet name="Change in working capital" sheetId="12" r:id="rId12"/>
    <sheet name="Fixed Assets scheduled" sheetId="13" r:id="rId13"/>
    <sheet name="Assumptions" sheetId="14" r:id="rId14"/>
    <sheet name="Forecasting" sheetId="15" r:id="rId15"/>
    <sheet name="Growth Scenario" sheetId="16" r:id="rId16"/>
    <sheet name="DCF Valuation" sheetId="17" r:id="rId17"/>
    <sheet name="Relative Valuation" sheetId="18" r:id="rId18"/>
    <sheet name="Stock Analysis" sheetId="19" r:id="rId19"/>
  </sheets>
  <calcPr calcId="181029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18" l="1"/>
  <c r="C8" i="18"/>
  <c r="C7" i="18"/>
  <c r="C6" i="18"/>
  <c r="C5" i="18"/>
  <c r="E29" i="19"/>
  <c r="I5" i="19"/>
  <c r="H5" i="19"/>
  <c r="G5" i="19"/>
  <c r="I4" i="19"/>
  <c r="G4" i="19"/>
  <c r="H3" i="19" s="1"/>
  <c r="I3" i="19"/>
  <c r="G3" i="19"/>
  <c r="I2" i="19"/>
  <c r="G2" i="19"/>
  <c r="H2" i="19" s="1"/>
  <c r="K15" i="18"/>
  <c r="K16" i="18" s="1"/>
  <c r="K17" i="18" s="1"/>
  <c r="I11" i="18"/>
  <c r="G11" i="18"/>
  <c r="F11" i="18"/>
  <c r="E11" i="18"/>
  <c r="D11" i="18"/>
  <c r="B11" i="18"/>
  <c r="I10" i="18"/>
  <c r="G10" i="18"/>
  <c r="F10" i="18"/>
  <c r="E10" i="18"/>
  <c r="D10" i="18"/>
  <c r="B10" i="18"/>
  <c r="M9" i="18"/>
  <c r="L9" i="18"/>
  <c r="K9" i="18"/>
  <c r="J9" i="18"/>
  <c r="H9" i="18"/>
  <c r="M8" i="18"/>
  <c r="L8" i="18"/>
  <c r="K8" i="18"/>
  <c r="J8" i="18"/>
  <c r="H8" i="18"/>
  <c r="L7" i="18"/>
  <c r="K7" i="18"/>
  <c r="J7" i="18"/>
  <c r="J10" i="18" s="1"/>
  <c r="B17" i="18" s="1"/>
  <c r="E17" i="18" s="1"/>
  <c r="H7" i="18"/>
  <c r="L6" i="18"/>
  <c r="L10" i="18" s="1"/>
  <c r="B16" i="18" s="1"/>
  <c r="K6" i="18"/>
  <c r="O22" i="18" s="1"/>
  <c r="J6" i="18"/>
  <c r="Q24" i="18" s="1"/>
  <c r="H6" i="18"/>
  <c r="C10" i="18"/>
  <c r="I5" i="18"/>
  <c r="J5" i="18" s="1"/>
  <c r="C29" i="17"/>
  <c r="H27" i="17"/>
  <c r="H28" i="17" s="1"/>
  <c r="H29" i="17" s="1"/>
  <c r="H26" i="17"/>
  <c r="H25" i="17" s="1"/>
  <c r="C26" i="17"/>
  <c r="C25" i="17"/>
  <c r="N4" i="17"/>
  <c r="B23" i="16"/>
  <c r="B22" i="16"/>
  <c r="B25" i="16" s="1"/>
  <c r="B26" i="16" s="1"/>
  <c r="P4" i="16"/>
  <c r="M4" i="16" s="1"/>
  <c r="N8" i="16" s="1"/>
  <c r="N13" i="16" s="1"/>
  <c r="Q11" i="15"/>
  <c r="Q8" i="15"/>
  <c r="L8" i="15"/>
  <c r="G8" i="15"/>
  <c r="H8" i="15" s="1"/>
  <c r="Q7" i="15"/>
  <c r="R7" i="15" s="1"/>
  <c r="L7" i="15"/>
  <c r="M7" i="15" s="1"/>
  <c r="H7" i="15"/>
  <c r="G7" i="15"/>
  <c r="Q6" i="15"/>
  <c r="M6" i="15"/>
  <c r="L6" i="15"/>
  <c r="G6" i="15"/>
  <c r="R5" i="15"/>
  <c r="Q5" i="15"/>
  <c r="Q9" i="15" s="1"/>
  <c r="R9" i="15" s="1"/>
  <c r="L5" i="15"/>
  <c r="M5" i="15" s="1"/>
  <c r="G5" i="15"/>
  <c r="G9" i="15" s="1"/>
  <c r="H9" i="15" s="1"/>
  <c r="Q4" i="15"/>
  <c r="Q13" i="15" s="1"/>
  <c r="L4" i="15"/>
  <c r="G4" i="15"/>
  <c r="B42" i="14"/>
  <c r="B30" i="10" s="1"/>
  <c r="F41" i="14"/>
  <c r="C24" i="17" s="1"/>
  <c r="E41" i="14"/>
  <c r="D41" i="14"/>
  <c r="C41" i="14"/>
  <c r="C42" i="14" s="1"/>
  <c r="C30" i="10" s="1"/>
  <c r="B41" i="14"/>
  <c r="F40" i="14"/>
  <c r="E40" i="14"/>
  <c r="D40" i="14"/>
  <c r="C40" i="14"/>
  <c r="B40" i="14"/>
  <c r="F39" i="14"/>
  <c r="F42" i="14" s="1"/>
  <c r="F30" i="10" s="1"/>
  <c r="E39" i="14"/>
  <c r="E42" i="14" s="1"/>
  <c r="D39" i="14"/>
  <c r="C39" i="14"/>
  <c r="B39" i="14"/>
  <c r="D35" i="14"/>
  <c r="E35" i="14" s="1"/>
  <c r="F35" i="14" s="1"/>
  <c r="C35" i="14"/>
  <c r="C25" i="14"/>
  <c r="F16" i="14"/>
  <c r="E16" i="14"/>
  <c r="D16" i="14"/>
  <c r="C16" i="14"/>
  <c r="B16" i="14"/>
  <c r="F15" i="14"/>
  <c r="E15" i="14"/>
  <c r="D15" i="14"/>
  <c r="C15" i="14"/>
  <c r="B15" i="14"/>
  <c r="F13" i="14"/>
  <c r="E13" i="14"/>
  <c r="D13" i="14"/>
  <c r="C13" i="14"/>
  <c r="B13" i="14"/>
  <c r="F12" i="14"/>
  <c r="E12" i="14"/>
  <c r="D12" i="14"/>
  <c r="C12" i="14"/>
  <c r="B12" i="14"/>
  <c r="F10" i="14"/>
  <c r="E10" i="14"/>
  <c r="D10" i="14"/>
  <c r="C10" i="14"/>
  <c r="B10" i="14"/>
  <c r="F8" i="14"/>
  <c r="F27" i="10" s="1"/>
  <c r="F34" i="10" s="1"/>
  <c r="E8" i="14"/>
  <c r="E28" i="10" s="1"/>
  <c r="E35" i="10" s="1"/>
  <c r="F7" i="14"/>
  <c r="E7" i="14"/>
  <c r="D7" i="14"/>
  <c r="C7" i="14"/>
  <c r="B7" i="14"/>
  <c r="B8" i="14" s="1"/>
  <c r="F6" i="14"/>
  <c r="E6" i="14"/>
  <c r="D6" i="14"/>
  <c r="C6" i="14"/>
  <c r="B6" i="14"/>
  <c r="F5" i="14"/>
  <c r="E5" i="14"/>
  <c r="D5" i="14"/>
  <c r="D8" i="14" s="1"/>
  <c r="C5" i="14"/>
  <c r="B5" i="14"/>
  <c r="F4" i="14"/>
  <c r="F3" i="14"/>
  <c r="B25" i="14" s="1"/>
  <c r="N3" i="16" s="1"/>
  <c r="E3" i="14"/>
  <c r="D3" i="14"/>
  <c r="C3" i="14"/>
  <c r="B3" i="14"/>
  <c r="E8" i="13"/>
  <c r="E9" i="13" s="1"/>
  <c r="F6" i="13"/>
  <c r="E6" i="13"/>
  <c r="E3" i="13" s="1"/>
  <c r="D6" i="13"/>
  <c r="E2" i="13" s="1"/>
  <c r="C6" i="13"/>
  <c r="B6" i="13"/>
  <c r="F5" i="13"/>
  <c r="F4" i="13" s="1"/>
  <c r="E5" i="13"/>
  <c r="E4" i="13" s="1"/>
  <c r="D5" i="13"/>
  <c r="C5" i="13"/>
  <c r="B5" i="13"/>
  <c r="C4" i="13"/>
  <c r="B4" i="13"/>
  <c r="C3" i="13"/>
  <c r="C8" i="13" s="1"/>
  <c r="F2" i="13"/>
  <c r="F3" i="13" s="1"/>
  <c r="F8" i="13" s="1"/>
  <c r="D2" i="13"/>
  <c r="C2" i="13"/>
  <c r="E5" i="12"/>
  <c r="E6" i="12" s="1"/>
  <c r="D5" i="12"/>
  <c r="D6" i="12" s="1"/>
  <c r="F4" i="12"/>
  <c r="E4" i="12"/>
  <c r="D4" i="12"/>
  <c r="C4" i="12"/>
  <c r="B4" i="12"/>
  <c r="F3" i="12"/>
  <c r="F5" i="12" s="1"/>
  <c r="E3" i="12"/>
  <c r="D3" i="12"/>
  <c r="C3" i="12"/>
  <c r="B3" i="12"/>
  <c r="B5" i="12" s="1"/>
  <c r="F2" i="12"/>
  <c r="E2" i="12"/>
  <c r="D2" i="12"/>
  <c r="C2" i="12"/>
  <c r="C5" i="12" s="1"/>
  <c r="C6" i="12" s="1"/>
  <c r="B2" i="12"/>
  <c r="J9" i="11"/>
  <c r="F33" i="10"/>
  <c r="F29" i="10"/>
  <c r="E29" i="10"/>
  <c r="C29" i="10"/>
  <c r="B29" i="10"/>
  <c r="E27" i="10"/>
  <c r="E34" i="10" s="1"/>
  <c r="F26" i="10"/>
  <c r="C26" i="10"/>
  <c r="C33" i="10" s="1"/>
  <c r="B26" i="10"/>
  <c r="B33" i="10" s="1"/>
  <c r="F17" i="10"/>
  <c r="C17" i="10"/>
  <c r="B17" i="10"/>
  <c r="F16" i="10"/>
  <c r="E16" i="10"/>
  <c r="E10" i="10"/>
  <c r="F4" i="10"/>
  <c r="C4" i="10"/>
  <c r="C25" i="9"/>
  <c r="B16" i="9"/>
  <c r="B13" i="9"/>
  <c r="B11" i="9"/>
  <c r="B3" i="9"/>
  <c r="B2" i="9"/>
  <c r="B17" i="9" s="1"/>
  <c r="B18" i="9" s="1"/>
  <c r="E1534" i="8"/>
  <c r="D1534" i="8"/>
  <c r="E1533" i="8"/>
  <c r="D1533" i="8"/>
  <c r="E1532" i="8"/>
  <c r="D1532" i="8"/>
  <c r="E1531" i="8"/>
  <c r="D1531" i="8"/>
  <c r="E1530" i="8"/>
  <c r="D1530" i="8"/>
  <c r="E1529" i="8"/>
  <c r="D1529" i="8"/>
  <c r="E1528" i="8"/>
  <c r="D1528" i="8"/>
  <c r="E1527" i="8"/>
  <c r="D1527" i="8"/>
  <c r="E1526" i="8"/>
  <c r="D1526" i="8"/>
  <c r="E1525" i="8"/>
  <c r="D1525" i="8"/>
  <c r="E1524" i="8"/>
  <c r="D1524" i="8"/>
  <c r="E1523" i="8"/>
  <c r="D1523" i="8"/>
  <c r="E1522" i="8"/>
  <c r="D1522" i="8"/>
  <c r="E1521" i="8"/>
  <c r="D1521" i="8"/>
  <c r="E1520" i="8"/>
  <c r="D1520" i="8"/>
  <c r="E1519" i="8"/>
  <c r="D1519" i="8"/>
  <c r="E1518" i="8"/>
  <c r="D1518" i="8"/>
  <c r="E1517" i="8"/>
  <c r="D1517" i="8"/>
  <c r="E1516" i="8"/>
  <c r="D1516" i="8"/>
  <c r="E1515" i="8"/>
  <c r="D1515" i="8"/>
  <c r="E1514" i="8"/>
  <c r="D1514" i="8"/>
  <c r="E1513" i="8"/>
  <c r="D1513" i="8"/>
  <c r="E1512" i="8"/>
  <c r="D1512" i="8"/>
  <c r="E1511" i="8"/>
  <c r="D1511" i="8"/>
  <c r="E1510" i="8"/>
  <c r="D1510" i="8"/>
  <c r="E1509" i="8"/>
  <c r="D1509" i="8"/>
  <c r="E1508" i="8"/>
  <c r="D1508" i="8"/>
  <c r="E1507" i="8"/>
  <c r="D1507" i="8"/>
  <c r="E1506" i="8"/>
  <c r="D1506" i="8"/>
  <c r="E1505" i="8"/>
  <c r="D1505" i="8"/>
  <c r="E1504" i="8"/>
  <c r="D1504" i="8"/>
  <c r="E1503" i="8"/>
  <c r="D1503" i="8"/>
  <c r="E1502" i="8"/>
  <c r="D1502" i="8"/>
  <c r="E1501" i="8"/>
  <c r="D1501" i="8"/>
  <c r="E1500" i="8"/>
  <c r="D1500" i="8"/>
  <c r="E1499" i="8"/>
  <c r="D1499" i="8"/>
  <c r="E1498" i="8"/>
  <c r="D1498" i="8"/>
  <c r="E1497" i="8"/>
  <c r="D1497" i="8"/>
  <c r="E1496" i="8"/>
  <c r="D1496" i="8"/>
  <c r="E1495" i="8"/>
  <c r="D1495" i="8"/>
  <c r="E1494" i="8"/>
  <c r="D1494" i="8"/>
  <c r="E1493" i="8"/>
  <c r="D1493" i="8"/>
  <c r="E1492" i="8"/>
  <c r="D1492" i="8"/>
  <c r="E1491" i="8"/>
  <c r="D1491" i="8"/>
  <c r="E1490" i="8"/>
  <c r="D1490" i="8"/>
  <c r="E1489" i="8"/>
  <c r="D1489" i="8"/>
  <c r="E1488" i="8"/>
  <c r="D1488" i="8"/>
  <c r="E1487" i="8"/>
  <c r="D1487" i="8"/>
  <c r="E1486" i="8"/>
  <c r="D1486" i="8"/>
  <c r="E1485" i="8"/>
  <c r="D1485" i="8"/>
  <c r="E1484" i="8"/>
  <c r="D1484" i="8"/>
  <c r="E1483" i="8"/>
  <c r="D1483" i="8"/>
  <c r="E1482" i="8"/>
  <c r="D1482" i="8"/>
  <c r="E1481" i="8"/>
  <c r="D1481" i="8"/>
  <c r="E1480" i="8"/>
  <c r="D1480" i="8"/>
  <c r="E1479" i="8"/>
  <c r="D1479" i="8"/>
  <c r="E1478" i="8"/>
  <c r="D1478" i="8"/>
  <c r="E1477" i="8"/>
  <c r="D1477" i="8"/>
  <c r="E1476" i="8"/>
  <c r="D1476" i="8"/>
  <c r="E1475" i="8"/>
  <c r="D1475" i="8"/>
  <c r="E1474" i="8"/>
  <c r="D1474" i="8"/>
  <c r="E1473" i="8"/>
  <c r="D1473" i="8"/>
  <c r="E1472" i="8"/>
  <c r="D1472" i="8"/>
  <c r="E1471" i="8"/>
  <c r="D1471" i="8"/>
  <c r="E1470" i="8"/>
  <c r="D1470" i="8"/>
  <c r="E1469" i="8"/>
  <c r="D1469" i="8"/>
  <c r="E1468" i="8"/>
  <c r="D1468" i="8"/>
  <c r="E1467" i="8"/>
  <c r="D1467" i="8"/>
  <c r="E1466" i="8"/>
  <c r="D1466" i="8"/>
  <c r="E1465" i="8"/>
  <c r="D1465" i="8"/>
  <c r="E1464" i="8"/>
  <c r="D1464" i="8"/>
  <c r="E1463" i="8"/>
  <c r="D1463" i="8"/>
  <c r="E1462" i="8"/>
  <c r="D1462" i="8"/>
  <c r="E1461" i="8"/>
  <c r="D1461" i="8"/>
  <c r="E1460" i="8"/>
  <c r="D1460" i="8"/>
  <c r="E1459" i="8"/>
  <c r="D1459" i="8"/>
  <c r="E1458" i="8"/>
  <c r="D1458" i="8"/>
  <c r="E1457" i="8"/>
  <c r="D1457" i="8"/>
  <c r="E1456" i="8"/>
  <c r="D1456" i="8"/>
  <c r="E1455" i="8"/>
  <c r="D1455" i="8"/>
  <c r="E1454" i="8"/>
  <c r="D1454" i="8"/>
  <c r="E1453" i="8"/>
  <c r="D1453" i="8"/>
  <c r="E1452" i="8"/>
  <c r="D1452" i="8"/>
  <c r="E1451" i="8"/>
  <c r="D1451" i="8"/>
  <c r="E1450" i="8"/>
  <c r="D1450" i="8"/>
  <c r="E1449" i="8"/>
  <c r="D1449" i="8"/>
  <c r="E1448" i="8"/>
  <c r="D1448" i="8"/>
  <c r="E1447" i="8"/>
  <c r="D1447" i="8"/>
  <c r="E1446" i="8"/>
  <c r="D1446" i="8"/>
  <c r="E1445" i="8"/>
  <c r="D1445" i="8"/>
  <c r="E1444" i="8"/>
  <c r="D1444" i="8"/>
  <c r="E1443" i="8"/>
  <c r="D1443" i="8"/>
  <c r="E1442" i="8"/>
  <c r="D1442" i="8"/>
  <c r="E1441" i="8"/>
  <c r="D1441" i="8"/>
  <c r="E1440" i="8"/>
  <c r="D1440" i="8"/>
  <c r="E1439" i="8"/>
  <c r="D1439" i="8"/>
  <c r="E1438" i="8"/>
  <c r="D1438" i="8"/>
  <c r="E1437" i="8"/>
  <c r="D1437" i="8"/>
  <c r="E1436" i="8"/>
  <c r="D1436" i="8"/>
  <c r="E1435" i="8"/>
  <c r="D1435" i="8"/>
  <c r="E1434" i="8"/>
  <c r="D1434" i="8"/>
  <c r="E1433" i="8"/>
  <c r="D1433" i="8"/>
  <c r="E1432" i="8"/>
  <c r="D1432" i="8"/>
  <c r="E1431" i="8"/>
  <c r="D1431" i="8"/>
  <c r="E1430" i="8"/>
  <c r="D1430" i="8"/>
  <c r="E1429" i="8"/>
  <c r="D1429" i="8"/>
  <c r="E1428" i="8"/>
  <c r="D1428" i="8"/>
  <c r="E1427" i="8"/>
  <c r="D1427" i="8"/>
  <c r="E1426" i="8"/>
  <c r="D1426" i="8"/>
  <c r="E1425" i="8"/>
  <c r="D1425" i="8"/>
  <c r="E1424" i="8"/>
  <c r="D1424" i="8"/>
  <c r="E1423" i="8"/>
  <c r="D1423" i="8"/>
  <c r="E1422" i="8"/>
  <c r="D1422" i="8"/>
  <c r="E1421" i="8"/>
  <c r="D1421" i="8"/>
  <c r="E1420" i="8"/>
  <c r="D1420" i="8"/>
  <c r="E1419" i="8"/>
  <c r="D1419" i="8"/>
  <c r="E1418" i="8"/>
  <c r="D1418" i="8"/>
  <c r="E1417" i="8"/>
  <c r="D1417" i="8"/>
  <c r="E1416" i="8"/>
  <c r="D1416" i="8"/>
  <c r="E1415" i="8"/>
  <c r="D1415" i="8"/>
  <c r="E1414" i="8"/>
  <c r="D1414" i="8"/>
  <c r="E1413" i="8"/>
  <c r="D1413" i="8"/>
  <c r="E1412" i="8"/>
  <c r="D1412" i="8"/>
  <c r="E1411" i="8"/>
  <c r="D1411" i="8"/>
  <c r="E1410" i="8"/>
  <c r="D1410" i="8"/>
  <c r="E1409" i="8"/>
  <c r="D1409" i="8"/>
  <c r="E1408" i="8"/>
  <c r="D1408" i="8"/>
  <c r="E1407" i="8"/>
  <c r="D1407" i="8"/>
  <c r="E1406" i="8"/>
  <c r="D1406" i="8"/>
  <c r="E1405" i="8"/>
  <c r="D1405" i="8"/>
  <c r="E1404" i="8"/>
  <c r="D1404" i="8"/>
  <c r="E1403" i="8"/>
  <c r="D1403" i="8"/>
  <c r="E1402" i="8"/>
  <c r="D1402" i="8"/>
  <c r="E1401" i="8"/>
  <c r="D1401" i="8"/>
  <c r="E1400" i="8"/>
  <c r="D1400" i="8"/>
  <c r="E1399" i="8"/>
  <c r="D1399" i="8"/>
  <c r="E1398" i="8"/>
  <c r="D1398" i="8"/>
  <c r="E1397" i="8"/>
  <c r="D1397" i="8"/>
  <c r="E1396" i="8"/>
  <c r="D1396" i="8"/>
  <c r="E1395" i="8"/>
  <c r="D1395" i="8"/>
  <c r="E1394" i="8"/>
  <c r="D1394" i="8"/>
  <c r="E1393" i="8"/>
  <c r="D1393" i="8"/>
  <c r="E1392" i="8"/>
  <c r="D1392" i="8"/>
  <c r="E1391" i="8"/>
  <c r="D1391" i="8"/>
  <c r="E1390" i="8"/>
  <c r="D1390" i="8"/>
  <c r="E1389" i="8"/>
  <c r="D1389" i="8"/>
  <c r="E1388" i="8"/>
  <c r="D1388" i="8"/>
  <c r="E1387" i="8"/>
  <c r="D1387" i="8"/>
  <c r="E1386" i="8"/>
  <c r="D1386" i="8"/>
  <c r="E1385" i="8"/>
  <c r="D1385" i="8"/>
  <c r="E1384" i="8"/>
  <c r="D1384" i="8"/>
  <c r="E1383" i="8"/>
  <c r="D1383" i="8"/>
  <c r="E1382" i="8"/>
  <c r="D1382" i="8"/>
  <c r="E1381" i="8"/>
  <c r="D1381" i="8"/>
  <c r="E1380" i="8"/>
  <c r="D1380" i="8"/>
  <c r="E1379" i="8"/>
  <c r="D1379" i="8"/>
  <c r="E1378" i="8"/>
  <c r="D1378" i="8"/>
  <c r="E1377" i="8"/>
  <c r="D1377" i="8"/>
  <c r="E1376" i="8"/>
  <c r="D1376" i="8"/>
  <c r="E1375" i="8"/>
  <c r="D1375" i="8"/>
  <c r="E1374" i="8"/>
  <c r="D1374" i="8"/>
  <c r="E1373" i="8"/>
  <c r="D1373" i="8"/>
  <c r="E1372" i="8"/>
  <c r="D1372" i="8"/>
  <c r="E1371" i="8"/>
  <c r="D1371" i="8"/>
  <c r="E1370" i="8"/>
  <c r="D1370" i="8"/>
  <c r="E1369" i="8"/>
  <c r="D1369" i="8"/>
  <c r="E1368" i="8"/>
  <c r="D1368" i="8"/>
  <c r="E1367" i="8"/>
  <c r="D1367" i="8"/>
  <c r="E1366" i="8"/>
  <c r="D1366" i="8"/>
  <c r="E1365" i="8"/>
  <c r="D1365" i="8"/>
  <c r="E1364" i="8"/>
  <c r="D1364" i="8"/>
  <c r="E1363" i="8"/>
  <c r="D1363" i="8"/>
  <c r="E1362" i="8"/>
  <c r="D1362" i="8"/>
  <c r="E1361" i="8"/>
  <c r="D1361" i="8"/>
  <c r="E1360" i="8"/>
  <c r="D1360" i="8"/>
  <c r="E1359" i="8"/>
  <c r="D1359" i="8"/>
  <c r="E1358" i="8"/>
  <c r="D1358" i="8"/>
  <c r="E1357" i="8"/>
  <c r="D1357" i="8"/>
  <c r="E1356" i="8"/>
  <c r="D1356" i="8"/>
  <c r="E1355" i="8"/>
  <c r="D1355" i="8"/>
  <c r="E1354" i="8"/>
  <c r="D1354" i="8"/>
  <c r="E1353" i="8"/>
  <c r="D1353" i="8"/>
  <c r="E1352" i="8"/>
  <c r="D1352" i="8"/>
  <c r="E1351" i="8"/>
  <c r="D1351" i="8"/>
  <c r="E1350" i="8"/>
  <c r="D1350" i="8"/>
  <c r="E1349" i="8"/>
  <c r="D1349" i="8"/>
  <c r="E1348" i="8"/>
  <c r="D1348" i="8"/>
  <c r="E1347" i="8"/>
  <c r="D1347" i="8"/>
  <c r="E1346" i="8"/>
  <c r="D1346" i="8"/>
  <c r="E1345" i="8"/>
  <c r="D1345" i="8"/>
  <c r="E1344" i="8"/>
  <c r="D1344" i="8"/>
  <c r="E1343" i="8"/>
  <c r="D1343" i="8"/>
  <c r="E1342" i="8"/>
  <c r="D1342" i="8"/>
  <c r="E1341" i="8"/>
  <c r="D1341" i="8"/>
  <c r="E1340" i="8"/>
  <c r="D1340" i="8"/>
  <c r="E1339" i="8"/>
  <c r="D1339" i="8"/>
  <c r="E1338" i="8"/>
  <c r="D1338" i="8"/>
  <c r="E1337" i="8"/>
  <c r="D1337" i="8"/>
  <c r="E1336" i="8"/>
  <c r="D1336" i="8"/>
  <c r="E1335" i="8"/>
  <c r="D1335" i="8"/>
  <c r="E1334" i="8"/>
  <c r="D1334" i="8"/>
  <c r="E1333" i="8"/>
  <c r="D1333" i="8"/>
  <c r="E1332" i="8"/>
  <c r="D1332" i="8"/>
  <c r="E1331" i="8"/>
  <c r="D1331" i="8"/>
  <c r="E1330" i="8"/>
  <c r="D1330" i="8"/>
  <c r="E1329" i="8"/>
  <c r="D1329" i="8"/>
  <c r="E1328" i="8"/>
  <c r="D1328" i="8"/>
  <c r="E1327" i="8"/>
  <c r="D1327" i="8"/>
  <c r="E1326" i="8"/>
  <c r="D1326" i="8"/>
  <c r="E1325" i="8"/>
  <c r="D1325" i="8"/>
  <c r="E1324" i="8"/>
  <c r="D1324" i="8"/>
  <c r="E1323" i="8"/>
  <c r="D1323" i="8"/>
  <c r="E1322" i="8"/>
  <c r="D1322" i="8"/>
  <c r="E1321" i="8"/>
  <c r="D1321" i="8"/>
  <c r="E1320" i="8"/>
  <c r="D1320" i="8"/>
  <c r="E1319" i="8"/>
  <c r="D1319" i="8"/>
  <c r="E1318" i="8"/>
  <c r="D1318" i="8"/>
  <c r="E1317" i="8"/>
  <c r="D1317" i="8"/>
  <c r="E1316" i="8"/>
  <c r="D1316" i="8"/>
  <c r="E1315" i="8"/>
  <c r="D1315" i="8"/>
  <c r="E1314" i="8"/>
  <c r="D1314" i="8"/>
  <c r="E1313" i="8"/>
  <c r="D1313" i="8"/>
  <c r="E1312" i="8"/>
  <c r="D1312" i="8"/>
  <c r="E1311" i="8"/>
  <c r="D1311" i="8"/>
  <c r="E1310" i="8"/>
  <c r="D1310" i="8"/>
  <c r="E1309" i="8"/>
  <c r="D1309" i="8"/>
  <c r="E1308" i="8"/>
  <c r="D1308" i="8"/>
  <c r="E1307" i="8"/>
  <c r="D1307" i="8"/>
  <c r="E1306" i="8"/>
  <c r="D1306" i="8"/>
  <c r="E1305" i="8"/>
  <c r="D1305" i="8"/>
  <c r="E1304" i="8"/>
  <c r="D1304" i="8"/>
  <c r="E1303" i="8"/>
  <c r="D1303" i="8"/>
  <c r="E1302" i="8"/>
  <c r="D1302" i="8"/>
  <c r="E1301" i="8"/>
  <c r="D1301" i="8"/>
  <c r="E1300" i="8"/>
  <c r="D1300" i="8"/>
  <c r="E1299" i="8"/>
  <c r="D1299" i="8"/>
  <c r="E1298" i="8"/>
  <c r="D1298" i="8"/>
  <c r="E1297" i="8"/>
  <c r="D1297" i="8"/>
  <c r="E1296" i="8"/>
  <c r="D1296" i="8"/>
  <c r="E1295" i="8"/>
  <c r="D1295" i="8"/>
  <c r="E1294" i="8"/>
  <c r="D1294" i="8"/>
  <c r="E1293" i="8"/>
  <c r="D1293" i="8"/>
  <c r="E1292" i="8"/>
  <c r="D1292" i="8"/>
  <c r="E1291" i="8"/>
  <c r="D1291" i="8"/>
  <c r="E1290" i="8"/>
  <c r="D1290" i="8"/>
  <c r="E1289" i="8"/>
  <c r="D1289" i="8"/>
  <c r="E1288" i="8"/>
  <c r="D1288" i="8"/>
  <c r="E1287" i="8"/>
  <c r="D1287" i="8"/>
  <c r="E1286" i="8"/>
  <c r="D1286" i="8"/>
  <c r="E1285" i="8"/>
  <c r="D1285" i="8"/>
  <c r="E1284" i="8"/>
  <c r="D1284" i="8"/>
  <c r="E1283" i="8"/>
  <c r="D1283" i="8"/>
  <c r="E1282" i="8"/>
  <c r="D1282" i="8"/>
  <c r="E1281" i="8"/>
  <c r="D1281" i="8"/>
  <c r="E1280" i="8"/>
  <c r="D1280" i="8"/>
  <c r="E1279" i="8"/>
  <c r="D1279" i="8"/>
  <c r="E1278" i="8"/>
  <c r="D1278" i="8"/>
  <c r="E1277" i="8"/>
  <c r="D1277" i="8"/>
  <c r="E1276" i="8"/>
  <c r="D1276" i="8"/>
  <c r="E1275" i="8"/>
  <c r="D1275" i="8"/>
  <c r="E1274" i="8"/>
  <c r="D1274" i="8"/>
  <c r="E1273" i="8"/>
  <c r="D1273" i="8"/>
  <c r="E1272" i="8"/>
  <c r="D1272" i="8"/>
  <c r="E1271" i="8"/>
  <c r="D1271" i="8"/>
  <c r="E1270" i="8"/>
  <c r="D1270" i="8"/>
  <c r="E1269" i="8"/>
  <c r="D1269" i="8"/>
  <c r="E1268" i="8"/>
  <c r="D1268" i="8"/>
  <c r="E1267" i="8"/>
  <c r="D1267" i="8"/>
  <c r="E1266" i="8"/>
  <c r="D1266" i="8"/>
  <c r="E1265" i="8"/>
  <c r="D1265" i="8"/>
  <c r="E1264" i="8"/>
  <c r="D1264" i="8"/>
  <c r="E1263" i="8"/>
  <c r="D1263" i="8"/>
  <c r="E1262" i="8"/>
  <c r="D1262" i="8"/>
  <c r="E1261" i="8"/>
  <c r="D1261" i="8"/>
  <c r="E1260" i="8"/>
  <c r="D1260" i="8"/>
  <c r="E1259" i="8"/>
  <c r="D1259" i="8"/>
  <c r="E1258" i="8"/>
  <c r="D1258" i="8"/>
  <c r="E1257" i="8"/>
  <c r="D1257" i="8"/>
  <c r="E1256" i="8"/>
  <c r="D1256" i="8"/>
  <c r="E1255" i="8"/>
  <c r="D1255" i="8"/>
  <c r="E1254" i="8"/>
  <c r="D1254" i="8"/>
  <c r="E1253" i="8"/>
  <c r="D1253" i="8"/>
  <c r="E1252" i="8"/>
  <c r="D1252" i="8"/>
  <c r="E1251" i="8"/>
  <c r="D1251" i="8"/>
  <c r="E1250" i="8"/>
  <c r="D1250" i="8"/>
  <c r="E1249" i="8"/>
  <c r="D1249" i="8"/>
  <c r="E1248" i="8"/>
  <c r="D1248" i="8"/>
  <c r="E1247" i="8"/>
  <c r="D1247" i="8"/>
  <c r="E1246" i="8"/>
  <c r="D1246" i="8"/>
  <c r="E1245" i="8"/>
  <c r="D1245" i="8"/>
  <c r="E1244" i="8"/>
  <c r="D1244" i="8"/>
  <c r="E1243" i="8"/>
  <c r="D1243" i="8"/>
  <c r="E1242" i="8"/>
  <c r="D1242" i="8"/>
  <c r="E1241" i="8"/>
  <c r="D1241" i="8"/>
  <c r="E1240" i="8"/>
  <c r="D1240" i="8"/>
  <c r="E1239" i="8"/>
  <c r="D1239" i="8"/>
  <c r="E1238" i="8"/>
  <c r="D1238" i="8"/>
  <c r="E1237" i="8"/>
  <c r="D1237" i="8"/>
  <c r="E1236" i="8"/>
  <c r="D1236" i="8"/>
  <c r="E1235" i="8"/>
  <c r="D1235" i="8"/>
  <c r="E1234" i="8"/>
  <c r="D1234" i="8"/>
  <c r="E1233" i="8"/>
  <c r="D1233" i="8"/>
  <c r="E1232" i="8"/>
  <c r="D1232" i="8"/>
  <c r="E1231" i="8"/>
  <c r="D1231" i="8"/>
  <c r="E1230" i="8"/>
  <c r="D1230" i="8"/>
  <c r="E1229" i="8"/>
  <c r="D1229" i="8"/>
  <c r="E1228" i="8"/>
  <c r="D1228" i="8"/>
  <c r="E1227" i="8"/>
  <c r="D1227" i="8"/>
  <c r="E1226" i="8"/>
  <c r="D1226" i="8"/>
  <c r="E1225" i="8"/>
  <c r="D1225" i="8"/>
  <c r="E1224" i="8"/>
  <c r="D1224" i="8"/>
  <c r="E1223" i="8"/>
  <c r="D1223" i="8"/>
  <c r="E1222" i="8"/>
  <c r="D1222" i="8"/>
  <c r="E1221" i="8"/>
  <c r="D1221" i="8"/>
  <c r="E1220" i="8"/>
  <c r="D1220" i="8"/>
  <c r="E1219" i="8"/>
  <c r="D1219" i="8"/>
  <c r="E1218" i="8"/>
  <c r="D1218" i="8"/>
  <c r="E1217" i="8"/>
  <c r="D1217" i="8"/>
  <c r="E1216" i="8"/>
  <c r="D1216" i="8"/>
  <c r="E1215" i="8"/>
  <c r="D1215" i="8"/>
  <c r="E1214" i="8"/>
  <c r="D1214" i="8"/>
  <c r="E1213" i="8"/>
  <c r="D1213" i="8"/>
  <c r="E1212" i="8"/>
  <c r="D1212" i="8"/>
  <c r="E1211" i="8"/>
  <c r="D1211" i="8"/>
  <c r="E1210" i="8"/>
  <c r="D1210" i="8"/>
  <c r="E1209" i="8"/>
  <c r="D1209" i="8"/>
  <c r="E1208" i="8"/>
  <c r="D1208" i="8"/>
  <c r="E1207" i="8"/>
  <c r="D1207" i="8"/>
  <c r="E1206" i="8"/>
  <c r="D1206" i="8"/>
  <c r="E1205" i="8"/>
  <c r="D1205" i="8"/>
  <c r="E1204" i="8"/>
  <c r="D1204" i="8"/>
  <c r="E1203" i="8"/>
  <c r="D1203" i="8"/>
  <c r="E1202" i="8"/>
  <c r="D1202" i="8"/>
  <c r="E1201" i="8"/>
  <c r="D1201" i="8"/>
  <c r="E1200" i="8"/>
  <c r="D1200" i="8"/>
  <c r="E1199" i="8"/>
  <c r="D1199" i="8"/>
  <c r="E1198" i="8"/>
  <c r="D1198" i="8"/>
  <c r="E1197" i="8"/>
  <c r="D1197" i="8"/>
  <c r="E1196" i="8"/>
  <c r="D1196" i="8"/>
  <c r="E1195" i="8"/>
  <c r="D1195" i="8"/>
  <c r="E1194" i="8"/>
  <c r="D1194" i="8"/>
  <c r="E1193" i="8"/>
  <c r="D1193" i="8"/>
  <c r="E1192" i="8"/>
  <c r="D1192" i="8"/>
  <c r="E1191" i="8"/>
  <c r="D1191" i="8"/>
  <c r="E1190" i="8"/>
  <c r="D1190" i="8"/>
  <c r="E1189" i="8"/>
  <c r="D1189" i="8"/>
  <c r="E1188" i="8"/>
  <c r="D1188" i="8"/>
  <c r="E1187" i="8"/>
  <c r="D1187" i="8"/>
  <c r="E1186" i="8"/>
  <c r="D1186" i="8"/>
  <c r="E1185" i="8"/>
  <c r="D1185" i="8"/>
  <c r="E1184" i="8"/>
  <c r="D1184" i="8"/>
  <c r="E1183" i="8"/>
  <c r="D1183" i="8"/>
  <c r="E1182" i="8"/>
  <c r="D1182" i="8"/>
  <c r="E1181" i="8"/>
  <c r="D1181" i="8"/>
  <c r="E1180" i="8"/>
  <c r="D1180" i="8"/>
  <c r="E1179" i="8"/>
  <c r="D1179" i="8"/>
  <c r="E1178" i="8"/>
  <c r="D1178" i="8"/>
  <c r="E1177" i="8"/>
  <c r="D1177" i="8"/>
  <c r="E1176" i="8"/>
  <c r="D1176" i="8"/>
  <c r="E1175" i="8"/>
  <c r="D1175" i="8"/>
  <c r="E1174" i="8"/>
  <c r="D1174" i="8"/>
  <c r="E1173" i="8"/>
  <c r="D1173" i="8"/>
  <c r="E1172" i="8"/>
  <c r="D1172" i="8"/>
  <c r="E1171" i="8"/>
  <c r="D1171" i="8"/>
  <c r="E1170" i="8"/>
  <c r="D1170" i="8"/>
  <c r="E1169" i="8"/>
  <c r="D1169" i="8"/>
  <c r="E1168" i="8"/>
  <c r="D1168" i="8"/>
  <c r="E1167" i="8"/>
  <c r="D1167" i="8"/>
  <c r="E1166" i="8"/>
  <c r="D1166" i="8"/>
  <c r="E1165" i="8"/>
  <c r="D1165" i="8"/>
  <c r="E1164" i="8"/>
  <c r="D1164" i="8"/>
  <c r="E1163" i="8"/>
  <c r="D1163" i="8"/>
  <c r="E1162" i="8"/>
  <c r="D1162" i="8"/>
  <c r="E1161" i="8"/>
  <c r="D1161" i="8"/>
  <c r="E1160" i="8"/>
  <c r="D1160" i="8"/>
  <c r="E1159" i="8"/>
  <c r="D1159" i="8"/>
  <c r="E1158" i="8"/>
  <c r="D1158" i="8"/>
  <c r="E1157" i="8"/>
  <c r="D1157" i="8"/>
  <c r="E1156" i="8"/>
  <c r="D1156" i="8"/>
  <c r="E1155" i="8"/>
  <c r="D1155" i="8"/>
  <c r="E1154" i="8"/>
  <c r="D1154" i="8"/>
  <c r="E1153" i="8"/>
  <c r="D1153" i="8"/>
  <c r="E1152" i="8"/>
  <c r="D1152" i="8"/>
  <c r="E1151" i="8"/>
  <c r="D1151" i="8"/>
  <c r="E1150" i="8"/>
  <c r="D1150" i="8"/>
  <c r="E1149" i="8"/>
  <c r="D1149" i="8"/>
  <c r="E1148" i="8"/>
  <c r="D1148" i="8"/>
  <c r="E1147" i="8"/>
  <c r="D1147" i="8"/>
  <c r="E1146" i="8"/>
  <c r="D1146" i="8"/>
  <c r="E1145" i="8"/>
  <c r="D1145" i="8"/>
  <c r="E1144" i="8"/>
  <c r="D1144" i="8"/>
  <c r="E1143" i="8"/>
  <c r="D1143" i="8"/>
  <c r="E1142" i="8"/>
  <c r="D1142" i="8"/>
  <c r="E1141" i="8"/>
  <c r="D1141" i="8"/>
  <c r="E1140" i="8"/>
  <c r="D1140" i="8"/>
  <c r="E1139" i="8"/>
  <c r="D1139" i="8"/>
  <c r="E1138" i="8"/>
  <c r="D1138" i="8"/>
  <c r="E1137" i="8"/>
  <c r="D1137" i="8"/>
  <c r="E1136" i="8"/>
  <c r="D1136" i="8"/>
  <c r="E1135" i="8"/>
  <c r="D1135" i="8"/>
  <c r="E1134" i="8"/>
  <c r="D1134" i="8"/>
  <c r="E1133" i="8"/>
  <c r="D1133" i="8"/>
  <c r="E1132" i="8"/>
  <c r="D1132" i="8"/>
  <c r="E1131" i="8"/>
  <c r="D1131" i="8"/>
  <c r="E1130" i="8"/>
  <c r="D1130" i="8"/>
  <c r="E1129" i="8"/>
  <c r="D1129" i="8"/>
  <c r="E1128" i="8"/>
  <c r="D1128" i="8"/>
  <c r="E1127" i="8"/>
  <c r="D1127" i="8"/>
  <c r="E1126" i="8"/>
  <c r="D1126" i="8"/>
  <c r="E1125" i="8"/>
  <c r="D1125" i="8"/>
  <c r="E1124" i="8"/>
  <c r="D1124" i="8"/>
  <c r="E1123" i="8"/>
  <c r="D1123" i="8"/>
  <c r="E1122" i="8"/>
  <c r="D1122" i="8"/>
  <c r="E1121" i="8"/>
  <c r="D1121" i="8"/>
  <c r="E1120" i="8"/>
  <c r="D1120" i="8"/>
  <c r="E1119" i="8"/>
  <c r="D1119" i="8"/>
  <c r="E1118" i="8"/>
  <c r="D1118" i="8"/>
  <c r="E1117" i="8"/>
  <c r="D1117" i="8"/>
  <c r="E1116" i="8"/>
  <c r="D1116" i="8"/>
  <c r="E1115" i="8"/>
  <c r="D1115" i="8"/>
  <c r="E1114" i="8"/>
  <c r="D1114" i="8"/>
  <c r="E1113" i="8"/>
  <c r="D1113" i="8"/>
  <c r="E1112" i="8"/>
  <c r="D1112" i="8"/>
  <c r="E1111" i="8"/>
  <c r="D1111" i="8"/>
  <c r="E1110" i="8"/>
  <c r="D1110" i="8"/>
  <c r="E1109" i="8"/>
  <c r="D1109" i="8"/>
  <c r="E1108" i="8"/>
  <c r="D1108" i="8"/>
  <c r="E1107" i="8"/>
  <c r="D1107" i="8"/>
  <c r="E1106" i="8"/>
  <c r="D1106" i="8"/>
  <c r="E1105" i="8"/>
  <c r="D1105" i="8"/>
  <c r="E1104" i="8"/>
  <c r="D1104" i="8"/>
  <c r="E1103" i="8"/>
  <c r="D1103" i="8"/>
  <c r="E1102" i="8"/>
  <c r="D1102" i="8"/>
  <c r="E1101" i="8"/>
  <c r="D1101" i="8"/>
  <c r="E1100" i="8"/>
  <c r="D1100" i="8"/>
  <c r="E1099" i="8"/>
  <c r="D1099" i="8"/>
  <c r="E1098" i="8"/>
  <c r="D1098" i="8"/>
  <c r="E1097" i="8"/>
  <c r="D1097" i="8"/>
  <c r="E1096" i="8"/>
  <c r="D1096" i="8"/>
  <c r="E1095" i="8"/>
  <c r="D1095" i="8"/>
  <c r="E1094" i="8"/>
  <c r="D1094" i="8"/>
  <c r="E1093" i="8"/>
  <c r="D1093" i="8"/>
  <c r="E1092" i="8"/>
  <c r="D1092" i="8"/>
  <c r="E1091" i="8"/>
  <c r="D1091" i="8"/>
  <c r="E1090" i="8"/>
  <c r="D1090" i="8"/>
  <c r="E1089" i="8"/>
  <c r="D1089" i="8"/>
  <c r="E1088" i="8"/>
  <c r="D1088" i="8"/>
  <c r="E1087" i="8"/>
  <c r="D1087" i="8"/>
  <c r="E1086" i="8"/>
  <c r="D1086" i="8"/>
  <c r="E1085" i="8"/>
  <c r="D1085" i="8"/>
  <c r="E1084" i="8"/>
  <c r="D1084" i="8"/>
  <c r="E1083" i="8"/>
  <c r="D1083" i="8"/>
  <c r="E1082" i="8"/>
  <c r="D1082" i="8"/>
  <c r="E1081" i="8"/>
  <c r="D1081" i="8"/>
  <c r="E1080" i="8"/>
  <c r="D1080" i="8"/>
  <c r="E1079" i="8"/>
  <c r="D1079" i="8"/>
  <c r="E1078" i="8"/>
  <c r="D1078" i="8"/>
  <c r="E1077" i="8"/>
  <c r="D1077" i="8"/>
  <c r="E1076" i="8"/>
  <c r="D1076" i="8"/>
  <c r="E1075" i="8"/>
  <c r="D1075" i="8"/>
  <c r="E1074" i="8"/>
  <c r="D1074" i="8"/>
  <c r="E1073" i="8"/>
  <c r="D1073" i="8"/>
  <c r="E1072" i="8"/>
  <c r="D1072" i="8"/>
  <c r="E1071" i="8"/>
  <c r="D1071" i="8"/>
  <c r="E1070" i="8"/>
  <c r="D1070" i="8"/>
  <c r="E1069" i="8"/>
  <c r="D1069" i="8"/>
  <c r="E1068" i="8"/>
  <c r="D1068" i="8"/>
  <c r="E1067" i="8"/>
  <c r="D1067" i="8"/>
  <c r="E1066" i="8"/>
  <c r="D1066" i="8"/>
  <c r="E1065" i="8"/>
  <c r="D1065" i="8"/>
  <c r="E1064" i="8"/>
  <c r="D1064" i="8"/>
  <c r="E1063" i="8"/>
  <c r="D1063" i="8"/>
  <c r="E1062" i="8"/>
  <c r="D1062" i="8"/>
  <c r="E1061" i="8"/>
  <c r="D1061" i="8"/>
  <c r="E1060" i="8"/>
  <c r="D1060" i="8"/>
  <c r="E1059" i="8"/>
  <c r="D1059" i="8"/>
  <c r="E1058" i="8"/>
  <c r="D1058" i="8"/>
  <c r="E1057" i="8"/>
  <c r="D1057" i="8"/>
  <c r="E1056" i="8"/>
  <c r="D1056" i="8"/>
  <c r="E1055" i="8"/>
  <c r="D1055" i="8"/>
  <c r="E1054" i="8"/>
  <c r="D1054" i="8"/>
  <c r="E1053" i="8"/>
  <c r="D1053" i="8"/>
  <c r="E1052" i="8"/>
  <c r="D1052" i="8"/>
  <c r="E1051" i="8"/>
  <c r="D1051" i="8"/>
  <c r="E1050" i="8"/>
  <c r="D1050" i="8"/>
  <c r="E1049" i="8"/>
  <c r="D1049" i="8"/>
  <c r="E1048" i="8"/>
  <c r="D1048" i="8"/>
  <c r="E1047" i="8"/>
  <c r="D1047" i="8"/>
  <c r="E1046" i="8"/>
  <c r="D1046" i="8"/>
  <c r="E1045" i="8"/>
  <c r="D1045" i="8"/>
  <c r="E1044" i="8"/>
  <c r="D1044" i="8"/>
  <c r="E1043" i="8"/>
  <c r="D1043" i="8"/>
  <c r="E1042" i="8"/>
  <c r="D1042" i="8"/>
  <c r="E1041" i="8"/>
  <c r="D1041" i="8"/>
  <c r="E1040" i="8"/>
  <c r="D1040" i="8"/>
  <c r="E1039" i="8"/>
  <c r="D1039" i="8"/>
  <c r="E1038" i="8"/>
  <c r="D1038" i="8"/>
  <c r="E1037" i="8"/>
  <c r="D1037" i="8"/>
  <c r="E1036" i="8"/>
  <c r="D1036" i="8"/>
  <c r="E1035" i="8"/>
  <c r="D1035" i="8"/>
  <c r="E1034" i="8"/>
  <c r="D1034" i="8"/>
  <c r="E1033" i="8"/>
  <c r="D1033" i="8"/>
  <c r="E1032" i="8"/>
  <c r="D1032" i="8"/>
  <c r="E1031" i="8"/>
  <c r="D1031" i="8"/>
  <c r="E1030" i="8"/>
  <c r="D1030" i="8"/>
  <c r="E1029" i="8"/>
  <c r="D1029" i="8"/>
  <c r="E1028" i="8"/>
  <c r="D1028" i="8"/>
  <c r="E1027" i="8"/>
  <c r="D1027" i="8"/>
  <c r="E1026" i="8"/>
  <c r="D1026" i="8"/>
  <c r="E1025" i="8"/>
  <c r="D1025" i="8"/>
  <c r="E1024" i="8"/>
  <c r="D1024" i="8"/>
  <c r="E1023" i="8"/>
  <c r="D1023" i="8"/>
  <c r="E1022" i="8"/>
  <c r="D1022" i="8"/>
  <c r="E1021" i="8"/>
  <c r="D1021" i="8"/>
  <c r="E1020" i="8"/>
  <c r="D1020" i="8"/>
  <c r="E1019" i="8"/>
  <c r="D1019" i="8"/>
  <c r="E1018" i="8"/>
  <c r="D1018" i="8"/>
  <c r="E1017" i="8"/>
  <c r="D1017" i="8"/>
  <c r="E1016" i="8"/>
  <c r="D1016" i="8"/>
  <c r="E1015" i="8"/>
  <c r="D1015" i="8"/>
  <c r="E1014" i="8"/>
  <c r="D1014" i="8"/>
  <c r="E1013" i="8"/>
  <c r="D1013" i="8"/>
  <c r="E1012" i="8"/>
  <c r="D1012" i="8"/>
  <c r="E1011" i="8"/>
  <c r="D1011" i="8"/>
  <c r="E1010" i="8"/>
  <c r="D1010" i="8"/>
  <c r="E1009" i="8"/>
  <c r="D1009" i="8"/>
  <c r="E1008" i="8"/>
  <c r="D1008" i="8"/>
  <c r="E1007" i="8"/>
  <c r="D1007" i="8"/>
  <c r="E1006" i="8"/>
  <c r="D1006" i="8"/>
  <c r="E1005" i="8"/>
  <c r="D1005" i="8"/>
  <c r="E1004" i="8"/>
  <c r="D1004" i="8"/>
  <c r="E1003" i="8"/>
  <c r="D1003" i="8"/>
  <c r="E1002" i="8"/>
  <c r="D1002" i="8"/>
  <c r="E1001" i="8"/>
  <c r="D1001" i="8"/>
  <c r="E1000" i="8"/>
  <c r="D1000" i="8"/>
  <c r="E999" i="8"/>
  <c r="D999" i="8"/>
  <c r="E998" i="8"/>
  <c r="D998" i="8"/>
  <c r="E997" i="8"/>
  <c r="D997" i="8"/>
  <c r="E996" i="8"/>
  <c r="D996" i="8"/>
  <c r="E995" i="8"/>
  <c r="D995" i="8"/>
  <c r="E994" i="8"/>
  <c r="D994" i="8"/>
  <c r="E993" i="8"/>
  <c r="D993" i="8"/>
  <c r="E992" i="8"/>
  <c r="D992" i="8"/>
  <c r="E991" i="8"/>
  <c r="D991" i="8"/>
  <c r="E990" i="8"/>
  <c r="D990" i="8"/>
  <c r="E989" i="8"/>
  <c r="D989" i="8"/>
  <c r="E988" i="8"/>
  <c r="D988" i="8"/>
  <c r="E987" i="8"/>
  <c r="D987" i="8"/>
  <c r="E986" i="8"/>
  <c r="D986" i="8"/>
  <c r="E985" i="8"/>
  <c r="D985" i="8"/>
  <c r="E984" i="8"/>
  <c r="D984" i="8"/>
  <c r="E983" i="8"/>
  <c r="D983" i="8"/>
  <c r="E982" i="8"/>
  <c r="D982" i="8"/>
  <c r="E981" i="8"/>
  <c r="D981" i="8"/>
  <c r="E980" i="8"/>
  <c r="D980" i="8"/>
  <c r="E979" i="8"/>
  <c r="D979" i="8"/>
  <c r="E978" i="8"/>
  <c r="D978" i="8"/>
  <c r="E977" i="8"/>
  <c r="D977" i="8"/>
  <c r="E976" i="8"/>
  <c r="D976" i="8"/>
  <c r="E975" i="8"/>
  <c r="D975" i="8"/>
  <c r="E974" i="8"/>
  <c r="D974" i="8"/>
  <c r="E973" i="8"/>
  <c r="D973" i="8"/>
  <c r="E972" i="8"/>
  <c r="D972" i="8"/>
  <c r="E971" i="8"/>
  <c r="D971" i="8"/>
  <c r="E970" i="8"/>
  <c r="D970" i="8"/>
  <c r="E969" i="8"/>
  <c r="D969" i="8"/>
  <c r="E968" i="8"/>
  <c r="D968" i="8"/>
  <c r="E967" i="8"/>
  <c r="D967" i="8"/>
  <c r="E966" i="8"/>
  <c r="D966" i="8"/>
  <c r="E965" i="8"/>
  <c r="D965" i="8"/>
  <c r="E964" i="8"/>
  <c r="D964" i="8"/>
  <c r="E963" i="8"/>
  <c r="D963" i="8"/>
  <c r="E962" i="8"/>
  <c r="D962" i="8"/>
  <c r="E961" i="8"/>
  <c r="D961" i="8"/>
  <c r="E960" i="8"/>
  <c r="D960" i="8"/>
  <c r="E959" i="8"/>
  <c r="D959" i="8"/>
  <c r="E958" i="8"/>
  <c r="D958" i="8"/>
  <c r="E957" i="8"/>
  <c r="D957" i="8"/>
  <c r="E956" i="8"/>
  <c r="D956" i="8"/>
  <c r="E955" i="8"/>
  <c r="D955" i="8"/>
  <c r="E954" i="8"/>
  <c r="D954" i="8"/>
  <c r="E953" i="8"/>
  <c r="D953" i="8"/>
  <c r="E952" i="8"/>
  <c r="D952" i="8"/>
  <c r="E951" i="8"/>
  <c r="D951" i="8"/>
  <c r="E950" i="8"/>
  <c r="D950" i="8"/>
  <c r="E949" i="8"/>
  <c r="D949" i="8"/>
  <c r="E948" i="8"/>
  <c r="D948" i="8"/>
  <c r="E947" i="8"/>
  <c r="D947" i="8"/>
  <c r="E946" i="8"/>
  <c r="D946" i="8"/>
  <c r="E945" i="8"/>
  <c r="D945" i="8"/>
  <c r="E944" i="8"/>
  <c r="D944" i="8"/>
  <c r="E943" i="8"/>
  <c r="D943" i="8"/>
  <c r="E942" i="8"/>
  <c r="D942" i="8"/>
  <c r="E941" i="8"/>
  <c r="D941" i="8"/>
  <c r="E940" i="8"/>
  <c r="D940" i="8"/>
  <c r="E939" i="8"/>
  <c r="D939" i="8"/>
  <c r="E938" i="8"/>
  <c r="D938" i="8"/>
  <c r="E937" i="8"/>
  <c r="D937" i="8"/>
  <c r="E936" i="8"/>
  <c r="D936" i="8"/>
  <c r="E935" i="8"/>
  <c r="D935" i="8"/>
  <c r="E934" i="8"/>
  <c r="D934" i="8"/>
  <c r="E933" i="8"/>
  <c r="D933" i="8"/>
  <c r="E932" i="8"/>
  <c r="D932" i="8"/>
  <c r="E931" i="8"/>
  <c r="D931" i="8"/>
  <c r="E930" i="8"/>
  <c r="D930" i="8"/>
  <c r="E929" i="8"/>
  <c r="D929" i="8"/>
  <c r="E928" i="8"/>
  <c r="D928" i="8"/>
  <c r="E927" i="8"/>
  <c r="D927" i="8"/>
  <c r="E926" i="8"/>
  <c r="D926" i="8"/>
  <c r="E925" i="8"/>
  <c r="D925" i="8"/>
  <c r="E924" i="8"/>
  <c r="D924" i="8"/>
  <c r="E923" i="8"/>
  <c r="D923" i="8"/>
  <c r="E922" i="8"/>
  <c r="D922" i="8"/>
  <c r="E921" i="8"/>
  <c r="D921" i="8"/>
  <c r="E920" i="8"/>
  <c r="D920" i="8"/>
  <c r="E919" i="8"/>
  <c r="D919" i="8"/>
  <c r="E918" i="8"/>
  <c r="D918" i="8"/>
  <c r="E917" i="8"/>
  <c r="D917" i="8"/>
  <c r="E916" i="8"/>
  <c r="D916" i="8"/>
  <c r="E915" i="8"/>
  <c r="D915" i="8"/>
  <c r="E914" i="8"/>
  <c r="D914" i="8"/>
  <c r="E913" i="8"/>
  <c r="D913" i="8"/>
  <c r="E912" i="8"/>
  <c r="D912" i="8"/>
  <c r="E911" i="8"/>
  <c r="D911" i="8"/>
  <c r="E910" i="8"/>
  <c r="D910" i="8"/>
  <c r="E909" i="8"/>
  <c r="D909" i="8"/>
  <c r="E908" i="8"/>
  <c r="D908" i="8"/>
  <c r="E907" i="8"/>
  <c r="D907" i="8"/>
  <c r="E906" i="8"/>
  <c r="D906" i="8"/>
  <c r="E905" i="8"/>
  <c r="D905" i="8"/>
  <c r="E904" i="8"/>
  <c r="D904" i="8"/>
  <c r="E903" i="8"/>
  <c r="D903" i="8"/>
  <c r="E902" i="8"/>
  <c r="D902" i="8"/>
  <c r="E901" i="8"/>
  <c r="D901" i="8"/>
  <c r="E900" i="8"/>
  <c r="D900" i="8"/>
  <c r="E899" i="8"/>
  <c r="D899" i="8"/>
  <c r="E898" i="8"/>
  <c r="D898" i="8"/>
  <c r="E897" i="8"/>
  <c r="D897" i="8"/>
  <c r="E896" i="8"/>
  <c r="D896" i="8"/>
  <c r="E895" i="8"/>
  <c r="D895" i="8"/>
  <c r="E894" i="8"/>
  <c r="D894" i="8"/>
  <c r="E893" i="8"/>
  <c r="D893" i="8"/>
  <c r="E892" i="8"/>
  <c r="D892" i="8"/>
  <c r="E891" i="8"/>
  <c r="D891" i="8"/>
  <c r="E890" i="8"/>
  <c r="D890" i="8"/>
  <c r="E889" i="8"/>
  <c r="D889" i="8"/>
  <c r="E888" i="8"/>
  <c r="D888" i="8"/>
  <c r="E887" i="8"/>
  <c r="D887" i="8"/>
  <c r="E886" i="8"/>
  <c r="D886" i="8"/>
  <c r="E885" i="8"/>
  <c r="D885" i="8"/>
  <c r="E884" i="8"/>
  <c r="D884" i="8"/>
  <c r="E883" i="8"/>
  <c r="D883" i="8"/>
  <c r="E882" i="8"/>
  <c r="D882" i="8"/>
  <c r="E881" i="8"/>
  <c r="D881" i="8"/>
  <c r="E880" i="8"/>
  <c r="D880" i="8"/>
  <c r="E879" i="8"/>
  <c r="D879" i="8"/>
  <c r="E878" i="8"/>
  <c r="D878" i="8"/>
  <c r="E877" i="8"/>
  <c r="D877" i="8"/>
  <c r="E876" i="8"/>
  <c r="D876" i="8"/>
  <c r="E875" i="8"/>
  <c r="D875" i="8"/>
  <c r="E874" i="8"/>
  <c r="D874" i="8"/>
  <c r="E873" i="8"/>
  <c r="D873" i="8"/>
  <c r="E872" i="8"/>
  <c r="D872" i="8"/>
  <c r="E871" i="8"/>
  <c r="D871" i="8"/>
  <c r="E870" i="8"/>
  <c r="D870" i="8"/>
  <c r="E869" i="8"/>
  <c r="D869" i="8"/>
  <c r="E868" i="8"/>
  <c r="D868" i="8"/>
  <c r="E867" i="8"/>
  <c r="D867" i="8"/>
  <c r="E866" i="8"/>
  <c r="D866" i="8"/>
  <c r="E865" i="8"/>
  <c r="D865" i="8"/>
  <c r="E864" i="8"/>
  <c r="D864" i="8"/>
  <c r="E863" i="8"/>
  <c r="D863" i="8"/>
  <c r="E862" i="8"/>
  <c r="D862" i="8"/>
  <c r="E861" i="8"/>
  <c r="D861" i="8"/>
  <c r="E860" i="8"/>
  <c r="D860" i="8"/>
  <c r="E859" i="8"/>
  <c r="D859" i="8"/>
  <c r="E858" i="8"/>
  <c r="D858" i="8"/>
  <c r="E857" i="8"/>
  <c r="D857" i="8"/>
  <c r="E856" i="8"/>
  <c r="D856" i="8"/>
  <c r="E855" i="8"/>
  <c r="D855" i="8"/>
  <c r="E854" i="8"/>
  <c r="D854" i="8"/>
  <c r="E853" i="8"/>
  <c r="D853" i="8"/>
  <c r="E852" i="8"/>
  <c r="D852" i="8"/>
  <c r="E851" i="8"/>
  <c r="D851" i="8"/>
  <c r="E850" i="8"/>
  <c r="D850" i="8"/>
  <c r="E849" i="8"/>
  <c r="D849" i="8"/>
  <c r="E848" i="8"/>
  <c r="D848" i="8"/>
  <c r="E847" i="8"/>
  <c r="D847" i="8"/>
  <c r="E846" i="8"/>
  <c r="D846" i="8"/>
  <c r="E845" i="8"/>
  <c r="D845" i="8"/>
  <c r="E844" i="8"/>
  <c r="D844" i="8"/>
  <c r="E843" i="8"/>
  <c r="D843" i="8"/>
  <c r="E842" i="8"/>
  <c r="D842" i="8"/>
  <c r="E841" i="8"/>
  <c r="D841" i="8"/>
  <c r="E840" i="8"/>
  <c r="D840" i="8"/>
  <c r="E839" i="8"/>
  <c r="D839" i="8"/>
  <c r="E838" i="8"/>
  <c r="D838" i="8"/>
  <c r="E837" i="8"/>
  <c r="D837" i="8"/>
  <c r="E836" i="8"/>
  <c r="D836" i="8"/>
  <c r="E835" i="8"/>
  <c r="D835" i="8"/>
  <c r="E834" i="8"/>
  <c r="D834" i="8"/>
  <c r="E833" i="8"/>
  <c r="D833" i="8"/>
  <c r="E832" i="8"/>
  <c r="D832" i="8"/>
  <c r="E831" i="8"/>
  <c r="D831" i="8"/>
  <c r="E830" i="8"/>
  <c r="D830" i="8"/>
  <c r="E829" i="8"/>
  <c r="D829" i="8"/>
  <c r="E828" i="8"/>
  <c r="D828" i="8"/>
  <c r="E827" i="8"/>
  <c r="D827" i="8"/>
  <c r="E826" i="8"/>
  <c r="D826" i="8"/>
  <c r="E825" i="8"/>
  <c r="D825" i="8"/>
  <c r="E824" i="8"/>
  <c r="D824" i="8"/>
  <c r="E823" i="8"/>
  <c r="D823" i="8"/>
  <c r="E822" i="8"/>
  <c r="D822" i="8"/>
  <c r="E821" i="8"/>
  <c r="D821" i="8"/>
  <c r="E820" i="8"/>
  <c r="D820" i="8"/>
  <c r="E819" i="8"/>
  <c r="D819" i="8"/>
  <c r="E818" i="8"/>
  <c r="D818" i="8"/>
  <c r="E817" i="8"/>
  <c r="D817" i="8"/>
  <c r="E816" i="8"/>
  <c r="D816" i="8"/>
  <c r="E815" i="8"/>
  <c r="D815" i="8"/>
  <c r="E814" i="8"/>
  <c r="D814" i="8"/>
  <c r="E813" i="8"/>
  <c r="D813" i="8"/>
  <c r="E812" i="8"/>
  <c r="D812" i="8"/>
  <c r="E811" i="8"/>
  <c r="D811" i="8"/>
  <c r="E810" i="8"/>
  <c r="D810" i="8"/>
  <c r="E809" i="8"/>
  <c r="D809" i="8"/>
  <c r="E808" i="8"/>
  <c r="D808" i="8"/>
  <c r="E807" i="8"/>
  <c r="D807" i="8"/>
  <c r="E806" i="8"/>
  <c r="D806" i="8"/>
  <c r="E805" i="8"/>
  <c r="D805" i="8"/>
  <c r="E804" i="8"/>
  <c r="D804" i="8"/>
  <c r="E803" i="8"/>
  <c r="D803" i="8"/>
  <c r="E802" i="8"/>
  <c r="D802" i="8"/>
  <c r="E801" i="8"/>
  <c r="D801" i="8"/>
  <c r="E800" i="8"/>
  <c r="D800" i="8"/>
  <c r="E799" i="8"/>
  <c r="D799" i="8"/>
  <c r="E798" i="8"/>
  <c r="D798" i="8"/>
  <c r="E797" i="8"/>
  <c r="D797" i="8"/>
  <c r="E796" i="8"/>
  <c r="D796" i="8"/>
  <c r="E795" i="8"/>
  <c r="D795" i="8"/>
  <c r="E794" i="8"/>
  <c r="D794" i="8"/>
  <c r="E793" i="8"/>
  <c r="D793" i="8"/>
  <c r="E792" i="8"/>
  <c r="D792" i="8"/>
  <c r="E791" i="8"/>
  <c r="D791" i="8"/>
  <c r="E790" i="8"/>
  <c r="D790" i="8"/>
  <c r="E789" i="8"/>
  <c r="D789" i="8"/>
  <c r="E788" i="8"/>
  <c r="D788" i="8"/>
  <c r="E787" i="8"/>
  <c r="D787" i="8"/>
  <c r="E786" i="8"/>
  <c r="D786" i="8"/>
  <c r="E785" i="8"/>
  <c r="D785" i="8"/>
  <c r="E784" i="8"/>
  <c r="D784" i="8"/>
  <c r="E783" i="8"/>
  <c r="D783" i="8"/>
  <c r="E782" i="8"/>
  <c r="D782" i="8"/>
  <c r="E781" i="8"/>
  <c r="D781" i="8"/>
  <c r="E780" i="8"/>
  <c r="D780" i="8"/>
  <c r="E779" i="8"/>
  <c r="D779" i="8"/>
  <c r="E778" i="8"/>
  <c r="D778" i="8"/>
  <c r="E777" i="8"/>
  <c r="D777" i="8"/>
  <c r="E776" i="8"/>
  <c r="D776" i="8"/>
  <c r="E775" i="8"/>
  <c r="D775" i="8"/>
  <c r="E774" i="8"/>
  <c r="D774" i="8"/>
  <c r="E773" i="8"/>
  <c r="D773" i="8"/>
  <c r="E772" i="8"/>
  <c r="D772" i="8"/>
  <c r="E771" i="8"/>
  <c r="D771" i="8"/>
  <c r="E770" i="8"/>
  <c r="D770" i="8"/>
  <c r="E769" i="8"/>
  <c r="D769" i="8"/>
  <c r="E768" i="8"/>
  <c r="D768" i="8"/>
  <c r="E767" i="8"/>
  <c r="D767" i="8"/>
  <c r="E766" i="8"/>
  <c r="D766" i="8"/>
  <c r="E765" i="8"/>
  <c r="D765" i="8"/>
  <c r="E764" i="8"/>
  <c r="D764" i="8"/>
  <c r="E763" i="8"/>
  <c r="D763" i="8"/>
  <c r="E762" i="8"/>
  <c r="D762" i="8"/>
  <c r="E761" i="8"/>
  <c r="D761" i="8"/>
  <c r="E760" i="8"/>
  <c r="D760" i="8"/>
  <c r="E759" i="8"/>
  <c r="D759" i="8"/>
  <c r="E758" i="8"/>
  <c r="D758" i="8"/>
  <c r="E757" i="8"/>
  <c r="D757" i="8"/>
  <c r="E756" i="8"/>
  <c r="D756" i="8"/>
  <c r="E755" i="8"/>
  <c r="D755" i="8"/>
  <c r="E754" i="8"/>
  <c r="D754" i="8"/>
  <c r="E753" i="8"/>
  <c r="D753" i="8"/>
  <c r="E752" i="8"/>
  <c r="D752" i="8"/>
  <c r="E751" i="8"/>
  <c r="D751" i="8"/>
  <c r="E750" i="8"/>
  <c r="D750" i="8"/>
  <c r="E749" i="8"/>
  <c r="D749" i="8"/>
  <c r="E748" i="8"/>
  <c r="D748" i="8"/>
  <c r="E747" i="8"/>
  <c r="D747" i="8"/>
  <c r="E746" i="8"/>
  <c r="D746" i="8"/>
  <c r="E745" i="8"/>
  <c r="D745" i="8"/>
  <c r="E744" i="8"/>
  <c r="D744" i="8"/>
  <c r="E743" i="8"/>
  <c r="D743" i="8"/>
  <c r="E742" i="8"/>
  <c r="D742" i="8"/>
  <c r="E741" i="8"/>
  <c r="D741" i="8"/>
  <c r="E740" i="8"/>
  <c r="D740" i="8"/>
  <c r="E739" i="8"/>
  <c r="D739" i="8"/>
  <c r="E738" i="8"/>
  <c r="D738" i="8"/>
  <c r="E737" i="8"/>
  <c r="D737" i="8"/>
  <c r="E736" i="8"/>
  <c r="D736" i="8"/>
  <c r="E735" i="8"/>
  <c r="D735" i="8"/>
  <c r="E734" i="8"/>
  <c r="D734" i="8"/>
  <c r="E733" i="8"/>
  <c r="D733" i="8"/>
  <c r="E732" i="8"/>
  <c r="D732" i="8"/>
  <c r="E731" i="8"/>
  <c r="D731" i="8"/>
  <c r="E730" i="8"/>
  <c r="D730" i="8"/>
  <c r="E729" i="8"/>
  <c r="D729" i="8"/>
  <c r="E728" i="8"/>
  <c r="D728" i="8"/>
  <c r="E727" i="8"/>
  <c r="D727" i="8"/>
  <c r="E726" i="8"/>
  <c r="D726" i="8"/>
  <c r="E725" i="8"/>
  <c r="D725" i="8"/>
  <c r="E724" i="8"/>
  <c r="D724" i="8"/>
  <c r="E723" i="8"/>
  <c r="D723" i="8"/>
  <c r="E722" i="8"/>
  <c r="D722" i="8"/>
  <c r="E721" i="8"/>
  <c r="D721" i="8"/>
  <c r="E720" i="8"/>
  <c r="D720" i="8"/>
  <c r="E719" i="8"/>
  <c r="D719" i="8"/>
  <c r="E718" i="8"/>
  <c r="D718" i="8"/>
  <c r="E717" i="8"/>
  <c r="D717" i="8"/>
  <c r="E716" i="8"/>
  <c r="D716" i="8"/>
  <c r="E715" i="8"/>
  <c r="D715" i="8"/>
  <c r="E714" i="8"/>
  <c r="D714" i="8"/>
  <c r="E713" i="8"/>
  <c r="D713" i="8"/>
  <c r="E712" i="8"/>
  <c r="D712" i="8"/>
  <c r="E711" i="8"/>
  <c r="D711" i="8"/>
  <c r="E710" i="8"/>
  <c r="D710" i="8"/>
  <c r="E709" i="8"/>
  <c r="D709" i="8"/>
  <c r="E708" i="8"/>
  <c r="D708" i="8"/>
  <c r="E707" i="8"/>
  <c r="D707" i="8"/>
  <c r="E706" i="8"/>
  <c r="D706" i="8"/>
  <c r="E705" i="8"/>
  <c r="D705" i="8"/>
  <c r="E704" i="8"/>
  <c r="D704" i="8"/>
  <c r="E703" i="8"/>
  <c r="D703" i="8"/>
  <c r="E702" i="8"/>
  <c r="D702" i="8"/>
  <c r="E701" i="8"/>
  <c r="D701" i="8"/>
  <c r="E700" i="8"/>
  <c r="D700" i="8"/>
  <c r="E699" i="8"/>
  <c r="D699" i="8"/>
  <c r="E698" i="8"/>
  <c r="D698" i="8"/>
  <c r="E697" i="8"/>
  <c r="D697" i="8"/>
  <c r="E696" i="8"/>
  <c r="D696" i="8"/>
  <c r="E695" i="8"/>
  <c r="D695" i="8"/>
  <c r="E694" i="8"/>
  <c r="D694" i="8"/>
  <c r="E693" i="8"/>
  <c r="D693" i="8"/>
  <c r="E692" i="8"/>
  <c r="D692" i="8"/>
  <c r="E691" i="8"/>
  <c r="D691" i="8"/>
  <c r="E690" i="8"/>
  <c r="D690" i="8"/>
  <c r="E689" i="8"/>
  <c r="D689" i="8"/>
  <c r="E688" i="8"/>
  <c r="D688" i="8"/>
  <c r="E687" i="8"/>
  <c r="D687" i="8"/>
  <c r="E686" i="8"/>
  <c r="D686" i="8"/>
  <c r="E685" i="8"/>
  <c r="D685" i="8"/>
  <c r="E684" i="8"/>
  <c r="D684" i="8"/>
  <c r="E683" i="8"/>
  <c r="D683" i="8"/>
  <c r="E682" i="8"/>
  <c r="D682" i="8"/>
  <c r="E681" i="8"/>
  <c r="D681" i="8"/>
  <c r="E680" i="8"/>
  <c r="D680" i="8"/>
  <c r="E679" i="8"/>
  <c r="D679" i="8"/>
  <c r="E678" i="8"/>
  <c r="D678" i="8"/>
  <c r="E677" i="8"/>
  <c r="D677" i="8"/>
  <c r="E676" i="8"/>
  <c r="D676" i="8"/>
  <c r="E675" i="8"/>
  <c r="D675" i="8"/>
  <c r="E674" i="8"/>
  <c r="D674" i="8"/>
  <c r="E673" i="8"/>
  <c r="D673" i="8"/>
  <c r="E672" i="8"/>
  <c r="D672" i="8"/>
  <c r="E671" i="8"/>
  <c r="D671" i="8"/>
  <c r="E670" i="8"/>
  <c r="D670" i="8"/>
  <c r="E669" i="8"/>
  <c r="D669" i="8"/>
  <c r="E668" i="8"/>
  <c r="D668" i="8"/>
  <c r="E667" i="8"/>
  <c r="D667" i="8"/>
  <c r="E666" i="8"/>
  <c r="D666" i="8"/>
  <c r="E665" i="8"/>
  <c r="D665" i="8"/>
  <c r="E664" i="8"/>
  <c r="D664" i="8"/>
  <c r="E663" i="8"/>
  <c r="D663" i="8"/>
  <c r="E662" i="8"/>
  <c r="D662" i="8"/>
  <c r="E661" i="8"/>
  <c r="D661" i="8"/>
  <c r="E660" i="8"/>
  <c r="D660" i="8"/>
  <c r="E659" i="8"/>
  <c r="D659" i="8"/>
  <c r="E658" i="8"/>
  <c r="D658" i="8"/>
  <c r="E657" i="8"/>
  <c r="D657" i="8"/>
  <c r="E656" i="8"/>
  <c r="D656" i="8"/>
  <c r="E655" i="8"/>
  <c r="D655" i="8"/>
  <c r="E654" i="8"/>
  <c r="D654" i="8"/>
  <c r="E653" i="8"/>
  <c r="D653" i="8"/>
  <c r="E652" i="8"/>
  <c r="D652" i="8"/>
  <c r="E651" i="8"/>
  <c r="D651" i="8"/>
  <c r="E650" i="8"/>
  <c r="D650" i="8"/>
  <c r="E649" i="8"/>
  <c r="D649" i="8"/>
  <c r="E648" i="8"/>
  <c r="D648" i="8"/>
  <c r="E647" i="8"/>
  <c r="D647" i="8"/>
  <c r="E646" i="8"/>
  <c r="D646" i="8"/>
  <c r="E645" i="8"/>
  <c r="D645" i="8"/>
  <c r="E644" i="8"/>
  <c r="D644" i="8"/>
  <c r="E643" i="8"/>
  <c r="D643" i="8"/>
  <c r="E642" i="8"/>
  <c r="D642" i="8"/>
  <c r="E641" i="8"/>
  <c r="D641" i="8"/>
  <c r="E640" i="8"/>
  <c r="D640" i="8"/>
  <c r="E639" i="8"/>
  <c r="D639" i="8"/>
  <c r="E638" i="8"/>
  <c r="D638" i="8"/>
  <c r="E637" i="8"/>
  <c r="D637" i="8"/>
  <c r="E636" i="8"/>
  <c r="D636" i="8"/>
  <c r="E635" i="8"/>
  <c r="D635" i="8"/>
  <c r="E634" i="8"/>
  <c r="D634" i="8"/>
  <c r="E633" i="8"/>
  <c r="D633" i="8"/>
  <c r="E632" i="8"/>
  <c r="D632" i="8"/>
  <c r="E631" i="8"/>
  <c r="D631" i="8"/>
  <c r="E630" i="8"/>
  <c r="D630" i="8"/>
  <c r="E629" i="8"/>
  <c r="D629" i="8"/>
  <c r="E628" i="8"/>
  <c r="D628" i="8"/>
  <c r="E627" i="8"/>
  <c r="D627" i="8"/>
  <c r="E626" i="8"/>
  <c r="D626" i="8"/>
  <c r="E625" i="8"/>
  <c r="D625" i="8"/>
  <c r="E624" i="8"/>
  <c r="D624" i="8"/>
  <c r="E623" i="8"/>
  <c r="D623" i="8"/>
  <c r="E622" i="8"/>
  <c r="D622" i="8"/>
  <c r="E621" i="8"/>
  <c r="D621" i="8"/>
  <c r="E620" i="8"/>
  <c r="D620" i="8"/>
  <c r="E619" i="8"/>
  <c r="D619" i="8"/>
  <c r="E618" i="8"/>
  <c r="D618" i="8"/>
  <c r="E617" i="8"/>
  <c r="D617" i="8"/>
  <c r="E616" i="8"/>
  <c r="D616" i="8"/>
  <c r="E615" i="8"/>
  <c r="D615" i="8"/>
  <c r="E614" i="8"/>
  <c r="D614" i="8"/>
  <c r="E613" i="8"/>
  <c r="D613" i="8"/>
  <c r="E612" i="8"/>
  <c r="D612" i="8"/>
  <c r="E611" i="8"/>
  <c r="D611" i="8"/>
  <c r="E610" i="8"/>
  <c r="D610" i="8"/>
  <c r="E609" i="8"/>
  <c r="D609" i="8"/>
  <c r="E608" i="8"/>
  <c r="D608" i="8"/>
  <c r="E607" i="8"/>
  <c r="D607" i="8"/>
  <c r="E606" i="8"/>
  <c r="D606" i="8"/>
  <c r="E605" i="8"/>
  <c r="D605" i="8"/>
  <c r="E604" i="8"/>
  <c r="D604" i="8"/>
  <c r="E603" i="8"/>
  <c r="D603" i="8"/>
  <c r="E602" i="8"/>
  <c r="D602" i="8"/>
  <c r="E601" i="8"/>
  <c r="D601" i="8"/>
  <c r="E600" i="8"/>
  <c r="D600" i="8"/>
  <c r="E599" i="8"/>
  <c r="D599" i="8"/>
  <c r="E598" i="8"/>
  <c r="D598" i="8"/>
  <c r="E597" i="8"/>
  <c r="D597" i="8"/>
  <c r="E596" i="8"/>
  <c r="D596" i="8"/>
  <c r="E595" i="8"/>
  <c r="D595" i="8"/>
  <c r="E594" i="8"/>
  <c r="D594" i="8"/>
  <c r="E593" i="8"/>
  <c r="D593" i="8"/>
  <c r="E592" i="8"/>
  <c r="D592" i="8"/>
  <c r="E591" i="8"/>
  <c r="D591" i="8"/>
  <c r="E590" i="8"/>
  <c r="D590" i="8"/>
  <c r="E589" i="8"/>
  <c r="D589" i="8"/>
  <c r="E588" i="8"/>
  <c r="D588" i="8"/>
  <c r="E587" i="8"/>
  <c r="D587" i="8"/>
  <c r="E586" i="8"/>
  <c r="D586" i="8"/>
  <c r="E585" i="8"/>
  <c r="D585" i="8"/>
  <c r="E584" i="8"/>
  <c r="D584" i="8"/>
  <c r="E583" i="8"/>
  <c r="D583" i="8"/>
  <c r="E582" i="8"/>
  <c r="D582" i="8"/>
  <c r="E581" i="8"/>
  <c r="D581" i="8"/>
  <c r="E580" i="8"/>
  <c r="D580" i="8"/>
  <c r="E579" i="8"/>
  <c r="D579" i="8"/>
  <c r="E578" i="8"/>
  <c r="D578" i="8"/>
  <c r="E577" i="8"/>
  <c r="D577" i="8"/>
  <c r="E576" i="8"/>
  <c r="D576" i="8"/>
  <c r="E575" i="8"/>
  <c r="D575" i="8"/>
  <c r="E574" i="8"/>
  <c r="D574" i="8"/>
  <c r="E573" i="8"/>
  <c r="D573" i="8"/>
  <c r="E572" i="8"/>
  <c r="D572" i="8"/>
  <c r="E571" i="8"/>
  <c r="D571" i="8"/>
  <c r="E570" i="8"/>
  <c r="D570" i="8"/>
  <c r="E569" i="8"/>
  <c r="D569" i="8"/>
  <c r="E568" i="8"/>
  <c r="D568" i="8"/>
  <c r="E567" i="8"/>
  <c r="D567" i="8"/>
  <c r="E566" i="8"/>
  <c r="D566" i="8"/>
  <c r="E565" i="8"/>
  <c r="D565" i="8"/>
  <c r="E564" i="8"/>
  <c r="D564" i="8"/>
  <c r="E563" i="8"/>
  <c r="D563" i="8"/>
  <c r="E562" i="8"/>
  <c r="D562" i="8"/>
  <c r="E561" i="8"/>
  <c r="D561" i="8"/>
  <c r="E560" i="8"/>
  <c r="D560" i="8"/>
  <c r="E559" i="8"/>
  <c r="D559" i="8"/>
  <c r="E558" i="8"/>
  <c r="D558" i="8"/>
  <c r="E557" i="8"/>
  <c r="D557" i="8"/>
  <c r="E556" i="8"/>
  <c r="D556" i="8"/>
  <c r="E555" i="8"/>
  <c r="D555" i="8"/>
  <c r="E554" i="8"/>
  <c r="D554" i="8"/>
  <c r="E553" i="8"/>
  <c r="D553" i="8"/>
  <c r="E552" i="8"/>
  <c r="D552" i="8"/>
  <c r="E551" i="8"/>
  <c r="D551" i="8"/>
  <c r="E550" i="8"/>
  <c r="D550" i="8"/>
  <c r="E549" i="8"/>
  <c r="D549" i="8"/>
  <c r="E548" i="8"/>
  <c r="D548" i="8"/>
  <c r="E547" i="8"/>
  <c r="D547" i="8"/>
  <c r="E546" i="8"/>
  <c r="D546" i="8"/>
  <c r="E545" i="8"/>
  <c r="D545" i="8"/>
  <c r="E544" i="8"/>
  <c r="D544" i="8"/>
  <c r="E543" i="8"/>
  <c r="D543" i="8"/>
  <c r="E542" i="8"/>
  <c r="D542" i="8"/>
  <c r="E541" i="8"/>
  <c r="D541" i="8"/>
  <c r="E540" i="8"/>
  <c r="D540" i="8"/>
  <c r="E539" i="8"/>
  <c r="D539" i="8"/>
  <c r="E538" i="8"/>
  <c r="D538" i="8"/>
  <c r="E537" i="8"/>
  <c r="D537" i="8"/>
  <c r="E536" i="8"/>
  <c r="D536" i="8"/>
  <c r="E535" i="8"/>
  <c r="D535" i="8"/>
  <c r="E534" i="8"/>
  <c r="D534" i="8"/>
  <c r="E533" i="8"/>
  <c r="D533" i="8"/>
  <c r="E532" i="8"/>
  <c r="D532" i="8"/>
  <c r="E531" i="8"/>
  <c r="D531" i="8"/>
  <c r="E530" i="8"/>
  <c r="D530" i="8"/>
  <c r="E529" i="8"/>
  <c r="D529" i="8"/>
  <c r="E528" i="8"/>
  <c r="D528" i="8"/>
  <c r="E527" i="8"/>
  <c r="D527" i="8"/>
  <c r="E526" i="8"/>
  <c r="D526" i="8"/>
  <c r="E525" i="8"/>
  <c r="D525" i="8"/>
  <c r="E524" i="8"/>
  <c r="D524" i="8"/>
  <c r="E523" i="8"/>
  <c r="D523" i="8"/>
  <c r="E522" i="8"/>
  <c r="D522" i="8"/>
  <c r="E521" i="8"/>
  <c r="D521" i="8"/>
  <c r="E520" i="8"/>
  <c r="D520" i="8"/>
  <c r="E519" i="8"/>
  <c r="D519" i="8"/>
  <c r="E518" i="8"/>
  <c r="D518" i="8"/>
  <c r="E517" i="8"/>
  <c r="D517" i="8"/>
  <c r="E516" i="8"/>
  <c r="D516" i="8"/>
  <c r="E515" i="8"/>
  <c r="D515" i="8"/>
  <c r="E514" i="8"/>
  <c r="D514" i="8"/>
  <c r="E513" i="8"/>
  <c r="D513" i="8"/>
  <c r="E512" i="8"/>
  <c r="D512" i="8"/>
  <c r="E511" i="8"/>
  <c r="D511" i="8"/>
  <c r="E510" i="8"/>
  <c r="D510" i="8"/>
  <c r="E509" i="8"/>
  <c r="D509" i="8"/>
  <c r="E508" i="8"/>
  <c r="D508" i="8"/>
  <c r="E507" i="8"/>
  <c r="D507" i="8"/>
  <c r="E506" i="8"/>
  <c r="D506" i="8"/>
  <c r="E505" i="8"/>
  <c r="D505" i="8"/>
  <c r="E504" i="8"/>
  <c r="D504" i="8"/>
  <c r="E503" i="8"/>
  <c r="D503" i="8"/>
  <c r="E502" i="8"/>
  <c r="D502" i="8"/>
  <c r="E501" i="8"/>
  <c r="D501" i="8"/>
  <c r="E500" i="8"/>
  <c r="D500" i="8"/>
  <c r="E499" i="8"/>
  <c r="D499" i="8"/>
  <c r="E498" i="8"/>
  <c r="D498" i="8"/>
  <c r="E497" i="8"/>
  <c r="D497" i="8"/>
  <c r="E496" i="8"/>
  <c r="D496" i="8"/>
  <c r="E495" i="8"/>
  <c r="D495" i="8"/>
  <c r="E494" i="8"/>
  <c r="D494" i="8"/>
  <c r="E493" i="8"/>
  <c r="D493" i="8"/>
  <c r="E492" i="8"/>
  <c r="D492" i="8"/>
  <c r="E491" i="8"/>
  <c r="D491" i="8"/>
  <c r="E490" i="8"/>
  <c r="D490" i="8"/>
  <c r="E489" i="8"/>
  <c r="D489" i="8"/>
  <c r="E488" i="8"/>
  <c r="D488" i="8"/>
  <c r="E487" i="8"/>
  <c r="D487" i="8"/>
  <c r="E486" i="8"/>
  <c r="D486" i="8"/>
  <c r="E485" i="8"/>
  <c r="D485" i="8"/>
  <c r="E484" i="8"/>
  <c r="D484" i="8"/>
  <c r="E483" i="8"/>
  <c r="D483" i="8"/>
  <c r="E482" i="8"/>
  <c r="D482" i="8"/>
  <c r="E481" i="8"/>
  <c r="D481" i="8"/>
  <c r="E480" i="8"/>
  <c r="D480" i="8"/>
  <c r="E479" i="8"/>
  <c r="D479" i="8"/>
  <c r="E478" i="8"/>
  <c r="D478" i="8"/>
  <c r="E477" i="8"/>
  <c r="D477" i="8"/>
  <c r="E476" i="8"/>
  <c r="D476" i="8"/>
  <c r="E475" i="8"/>
  <c r="D475" i="8"/>
  <c r="E474" i="8"/>
  <c r="D474" i="8"/>
  <c r="E473" i="8"/>
  <c r="D473" i="8"/>
  <c r="E472" i="8"/>
  <c r="D472" i="8"/>
  <c r="E471" i="8"/>
  <c r="D471" i="8"/>
  <c r="E470" i="8"/>
  <c r="D470" i="8"/>
  <c r="E469" i="8"/>
  <c r="D469" i="8"/>
  <c r="E468" i="8"/>
  <c r="D468" i="8"/>
  <c r="E467" i="8"/>
  <c r="D467" i="8"/>
  <c r="E466" i="8"/>
  <c r="D466" i="8"/>
  <c r="E465" i="8"/>
  <c r="D465" i="8"/>
  <c r="E464" i="8"/>
  <c r="D464" i="8"/>
  <c r="E463" i="8"/>
  <c r="D463" i="8"/>
  <c r="E462" i="8"/>
  <c r="D462" i="8"/>
  <c r="E461" i="8"/>
  <c r="D461" i="8"/>
  <c r="E460" i="8"/>
  <c r="D460" i="8"/>
  <c r="E459" i="8"/>
  <c r="D459" i="8"/>
  <c r="E458" i="8"/>
  <c r="D458" i="8"/>
  <c r="E457" i="8"/>
  <c r="D457" i="8"/>
  <c r="E456" i="8"/>
  <c r="D456" i="8"/>
  <c r="E455" i="8"/>
  <c r="D455" i="8"/>
  <c r="E454" i="8"/>
  <c r="D454" i="8"/>
  <c r="E453" i="8"/>
  <c r="D453" i="8"/>
  <c r="E452" i="8"/>
  <c r="D452" i="8"/>
  <c r="E451" i="8"/>
  <c r="D451" i="8"/>
  <c r="E450" i="8"/>
  <c r="D450" i="8"/>
  <c r="E449" i="8"/>
  <c r="D449" i="8"/>
  <c r="E448" i="8"/>
  <c r="D448" i="8"/>
  <c r="E447" i="8"/>
  <c r="D447" i="8"/>
  <c r="E446" i="8"/>
  <c r="D446" i="8"/>
  <c r="E445" i="8"/>
  <c r="D445" i="8"/>
  <c r="E444" i="8"/>
  <c r="D444" i="8"/>
  <c r="E443" i="8"/>
  <c r="D443" i="8"/>
  <c r="E442" i="8"/>
  <c r="D442" i="8"/>
  <c r="E441" i="8"/>
  <c r="D441" i="8"/>
  <c r="E440" i="8"/>
  <c r="D440" i="8"/>
  <c r="E439" i="8"/>
  <c r="D439" i="8"/>
  <c r="E438" i="8"/>
  <c r="D438" i="8"/>
  <c r="E437" i="8"/>
  <c r="D437" i="8"/>
  <c r="E436" i="8"/>
  <c r="D436" i="8"/>
  <c r="E435" i="8"/>
  <c r="D435" i="8"/>
  <c r="E434" i="8"/>
  <c r="D434" i="8"/>
  <c r="E433" i="8"/>
  <c r="D433" i="8"/>
  <c r="E432" i="8"/>
  <c r="D432" i="8"/>
  <c r="E431" i="8"/>
  <c r="D431" i="8"/>
  <c r="E430" i="8"/>
  <c r="D430" i="8"/>
  <c r="E429" i="8"/>
  <c r="D429" i="8"/>
  <c r="E428" i="8"/>
  <c r="D428" i="8"/>
  <c r="E427" i="8"/>
  <c r="D427" i="8"/>
  <c r="E426" i="8"/>
  <c r="D426" i="8"/>
  <c r="E425" i="8"/>
  <c r="D425" i="8"/>
  <c r="E424" i="8"/>
  <c r="D424" i="8"/>
  <c r="E423" i="8"/>
  <c r="D423" i="8"/>
  <c r="E422" i="8"/>
  <c r="D422" i="8"/>
  <c r="E421" i="8"/>
  <c r="D421" i="8"/>
  <c r="E420" i="8"/>
  <c r="D420" i="8"/>
  <c r="E419" i="8"/>
  <c r="D419" i="8"/>
  <c r="E418" i="8"/>
  <c r="D418" i="8"/>
  <c r="E417" i="8"/>
  <c r="D417" i="8"/>
  <c r="E416" i="8"/>
  <c r="D416" i="8"/>
  <c r="E415" i="8"/>
  <c r="D415" i="8"/>
  <c r="E414" i="8"/>
  <c r="D414" i="8"/>
  <c r="E413" i="8"/>
  <c r="D413" i="8"/>
  <c r="E412" i="8"/>
  <c r="D412" i="8"/>
  <c r="E411" i="8"/>
  <c r="D411" i="8"/>
  <c r="E410" i="8"/>
  <c r="D410" i="8"/>
  <c r="E409" i="8"/>
  <c r="D409" i="8"/>
  <c r="E408" i="8"/>
  <c r="D408" i="8"/>
  <c r="E407" i="8"/>
  <c r="D407" i="8"/>
  <c r="E406" i="8"/>
  <c r="D406" i="8"/>
  <c r="E405" i="8"/>
  <c r="D405" i="8"/>
  <c r="E404" i="8"/>
  <c r="D404" i="8"/>
  <c r="E403" i="8"/>
  <c r="D403" i="8"/>
  <c r="E402" i="8"/>
  <c r="D402" i="8"/>
  <c r="E401" i="8"/>
  <c r="D401" i="8"/>
  <c r="E400" i="8"/>
  <c r="D400" i="8"/>
  <c r="E399" i="8"/>
  <c r="D399" i="8"/>
  <c r="E398" i="8"/>
  <c r="D398" i="8"/>
  <c r="E397" i="8"/>
  <c r="D397" i="8"/>
  <c r="E396" i="8"/>
  <c r="D396" i="8"/>
  <c r="E395" i="8"/>
  <c r="D395" i="8"/>
  <c r="E394" i="8"/>
  <c r="D394" i="8"/>
  <c r="E393" i="8"/>
  <c r="D393" i="8"/>
  <c r="E392" i="8"/>
  <c r="D392" i="8"/>
  <c r="E391" i="8"/>
  <c r="D391" i="8"/>
  <c r="E390" i="8"/>
  <c r="D390" i="8"/>
  <c r="E389" i="8"/>
  <c r="D389" i="8"/>
  <c r="E388" i="8"/>
  <c r="D388" i="8"/>
  <c r="E387" i="8"/>
  <c r="D387" i="8"/>
  <c r="E386" i="8"/>
  <c r="D386" i="8"/>
  <c r="E385" i="8"/>
  <c r="D385" i="8"/>
  <c r="E384" i="8"/>
  <c r="D384" i="8"/>
  <c r="E383" i="8"/>
  <c r="D383" i="8"/>
  <c r="E382" i="8"/>
  <c r="D382" i="8"/>
  <c r="E381" i="8"/>
  <c r="D381" i="8"/>
  <c r="E380" i="8"/>
  <c r="D380" i="8"/>
  <c r="E379" i="8"/>
  <c r="D379" i="8"/>
  <c r="E378" i="8"/>
  <c r="D378" i="8"/>
  <c r="E377" i="8"/>
  <c r="D377" i="8"/>
  <c r="E376" i="8"/>
  <c r="D376" i="8"/>
  <c r="E375" i="8"/>
  <c r="D375" i="8"/>
  <c r="E374" i="8"/>
  <c r="D374" i="8"/>
  <c r="E373" i="8"/>
  <c r="D373" i="8"/>
  <c r="E372" i="8"/>
  <c r="D372" i="8"/>
  <c r="E371" i="8"/>
  <c r="D371" i="8"/>
  <c r="E370" i="8"/>
  <c r="D370" i="8"/>
  <c r="E369" i="8"/>
  <c r="D369" i="8"/>
  <c r="E368" i="8"/>
  <c r="D368" i="8"/>
  <c r="E367" i="8"/>
  <c r="D367" i="8"/>
  <c r="E366" i="8"/>
  <c r="D366" i="8"/>
  <c r="E365" i="8"/>
  <c r="D365" i="8"/>
  <c r="E364" i="8"/>
  <c r="D364" i="8"/>
  <c r="E363" i="8"/>
  <c r="D363" i="8"/>
  <c r="E362" i="8"/>
  <c r="D362" i="8"/>
  <c r="E361" i="8"/>
  <c r="D361" i="8"/>
  <c r="E360" i="8"/>
  <c r="D360" i="8"/>
  <c r="E359" i="8"/>
  <c r="D359" i="8"/>
  <c r="E358" i="8"/>
  <c r="D358" i="8"/>
  <c r="E357" i="8"/>
  <c r="D357" i="8"/>
  <c r="E356" i="8"/>
  <c r="D356" i="8"/>
  <c r="E355" i="8"/>
  <c r="D355" i="8"/>
  <c r="E354" i="8"/>
  <c r="D354" i="8"/>
  <c r="E353" i="8"/>
  <c r="D353" i="8"/>
  <c r="E352" i="8"/>
  <c r="D352" i="8"/>
  <c r="E351" i="8"/>
  <c r="D351" i="8"/>
  <c r="E350" i="8"/>
  <c r="D350" i="8"/>
  <c r="E349" i="8"/>
  <c r="D349" i="8"/>
  <c r="E348" i="8"/>
  <c r="D348" i="8"/>
  <c r="E347" i="8"/>
  <c r="D347" i="8"/>
  <c r="E346" i="8"/>
  <c r="D346" i="8"/>
  <c r="E345" i="8"/>
  <c r="D345" i="8"/>
  <c r="E344" i="8"/>
  <c r="D344" i="8"/>
  <c r="E343" i="8"/>
  <c r="D343" i="8"/>
  <c r="E342" i="8"/>
  <c r="D342" i="8"/>
  <c r="E341" i="8"/>
  <c r="D341" i="8"/>
  <c r="E340" i="8"/>
  <c r="D340" i="8"/>
  <c r="E339" i="8"/>
  <c r="D339" i="8"/>
  <c r="E338" i="8"/>
  <c r="D338" i="8"/>
  <c r="E337" i="8"/>
  <c r="D337" i="8"/>
  <c r="E336" i="8"/>
  <c r="D336" i="8"/>
  <c r="E335" i="8"/>
  <c r="D335" i="8"/>
  <c r="E334" i="8"/>
  <c r="D334" i="8"/>
  <c r="E333" i="8"/>
  <c r="D333" i="8"/>
  <c r="E332" i="8"/>
  <c r="D332" i="8"/>
  <c r="E331" i="8"/>
  <c r="D331" i="8"/>
  <c r="E330" i="8"/>
  <c r="D330" i="8"/>
  <c r="E329" i="8"/>
  <c r="D329" i="8"/>
  <c r="E328" i="8"/>
  <c r="D328" i="8"/>
  <c r="E327" i="8"/>
  <c r="D327" i="8"/>
  <c r="E326" i="8"/>
  <c r="D326" i="8"/>
  <c r="E325" i="8"/>
  <c r="D325" i="8"/>
  <c r="E324" i="8"/>
  <c r="D324" i="8"/>
  <c r="E323" i="8"/>
  <c r="D323" i="8"/>
  <c r="E322" i="8"/>
  <c r="D322" i="8"/>
  <c r="E321" i="8"/>
  <c r="D321" i="8"/>
  <c r="E320" i="8"/>
  <c r="D320" i="8"/>
  <c r="E319" i="8"/>
  <c r="D319" i="8"/>
  <c r="E318" i="8"/>
  <c r="D318" i="8"/>
  <c r="E317" i="8"/>
  <c r="D317" i="8"/>
  <c r="E316" i="8"/>
  <c r="D316" i="8"/>
  <c r="E315" i="8"/>
  <c r="D315" i="8"/>
  <c r="E314" i="8"/>
  <c r="D314" i="8"/>
  <c r="E313" i="8"/>
  <c r="D313" i="8"/>
  <c r="E312" i="8"/>
  <c r="D312" i="8"/>
  <c r="E311" i="8"/>
  <c r="D311" i="8"/>
  <c r="E310" i="8"/>
  <c r="D310" i="8"/>
  <c r="E309" i="8"/>
  <c r="D309" i="8"/>
  <c r="E308" i="8"/>
  <c r="D308" i="8"/>
  <c r="E307" i="8"/>
  <c r="D307" i="8"/>
  <c r="E306" i="8"/>
  <c r="D306" i="8"/>
  <c r="E305" i="8"/>
  <c r="D305" i="8"/>
  <c r="E304" i="8"/>
  <c r="D304" i="8"/>
  <c r="E303" i="8"/>
  <c r="D303" i="8"/>
  <c r="E302" i="8"/>
  <c r="D302" i="8"/>
  <c r="E301" i="8"/>
  <c r="D301" i="8"/>
  <c r="E300" i="8"/>
  <c r="D300" i="8"/>
  <c r="E299" i="8"/>
  <c r="D299" i="8"/>
  <c r="E298" i="8"/>
  <c r="D298" i="8"/>
  <c r="E297" i="8"/>
  <c r="D297" i="8"/>
  <c r="E296" i="8"/>
  <c r="D296" i="8"/>
  <c r="E295" i="8"/>
  <c r="D295" i="8"/>
  <c r="E294" i="8"/>
  <c r="D294" i="8"/>
  <c r="E293" i="8"/>
  <c r="D293" i="8"/>
  <c r="E292" i="8"/>
  <c r="D292" i="8"/>
  <c r="E291" i="8"/>
  <c r="D291" i="8"/>
  <c r="E290" i="8"/>
  <c r="D290" i="8"/>
  <c r="E289" i="8"/>
  <c r="D289" i="8"/>
  <c r="E288" i="8"/>
  <c r="D288" i="8"/>
  <c r="E287" i="8"/>
  <c r="D287" i="8"/>
  <c r="E286" i="8"/>
  <c r="D286" i="8"/>
  <c r="E285" i="8"/>
  <c r="D285" i="8"/>
  <c r="E284" i="8"/>
  <c r="D284" i="8"/>
  <c r="E283" i="8"/>
  <c r="D283" i="8"/>
  <c r="E282" i="8"/>
  <c r="D282" i="8"/>
  <c r="E281" i="8"/>
  <c r="D281" i="8"/>
  <c r="E280" i="8"/>
  <c r="D280" i="8"/>
  <c r="E279" i="8"/>
  <c r="D279" i="8"/>
  <c r="E278" i="8"/>
  <c r="D278" i="8"/>
  <c r="E277" i="8"/>
  <c r="D277" i="8"/>
  <c r="E276" i="8"/>
  <c r="D276" i="8"/>
  <c r="E275" i="8"/>
  <c r="D275" i="8"/>
  <c r="E274" i="8"/>
  <c r="D274" i="8"/>
  <c r="E273" i="8"/>
  <c r="D273" i="8"/>
  <c r="E272" i="8"/>
  <c r="D272" i="8"/>
  <c r="E271" i="8"/>
  <c r="D271" i="8"/>
  <c r="E270" i="8"/>
  <c r="D270" i="8"/>
  <c r="E269" i="8"/>
  <c r="D269" i="8"/>
  <c r="E268" i="8"/>
  <c r="D268" i="8"/>
  <c r="E267" i="8"/>
  <c r="D267" i="8"/>
  <c r="E266" i="8"/>
  <c r="D266" i="8"/>
  <c r="E265" i="8"/>
  <c r="D265" i="8"/>
  <c r="E264" i="8"/>
  <c r="D264" i="8"/>
  <c r="E263" i="8"/>
  <c r="D263" i="8"/>
  <c r="E262" i="8"/>
  <c r="D262" i="8"/>
  <c r="E261" i="8"/>
  <c r="D261" i="8"/>
  <c r="E260" i="8"/>
  <c r="D260" i="8"/>
  <c r="E259" i="8"/>
  <c r="D259" i="8"/>
  <c r="E258" i="8"/>
  <c r="D258" i="8"/>
  <c r="E257" i="8"/>
  <c r="D257" i="8"/>
  <c r="E256" i="8"/>
  <c r="D256" i="8"/>
  <c r="E255" i="8"/>
  <c r="D255" i="8"/>
  <c r="E254" i="8"/>
  <c r="D254" i="8"/>
  <c r="E253" i="8"/>
  <c r="D253" i="8"/>
  <c r="E252" i="8"/>
  <c r="D252" i="8"/>
  <c r="E251" i="8"/>
  <c r="D251" i="8"/>
  <c r="E250" i="8"/>
  <c r="D250" i="8"/>
  <c r="E249" i="8"/>
  <c r="D249" i="8"/>
  <c r="E248" i="8"/>
  <c r="D248" i="8"/>
  <c r="E247" i="8"/>
  <c r="D247" i="8"/>
  <c r="E246" i="8"/>
  <c r="D246" i="8"/>
  <c r="E245" i="8"/>
  <c r="D245" i="8"/>
  <c r="E244" i="8"/>
  <c r="D244" i="8"/>
  <c r="E243" i="8"/>
  <c r="D243" i="8"/>
  <c r="E242" i="8"/>
  <c r="D242" i="8"/>
  <c r="E241" i="8"/>
  <c r="D241" i="8"/>
  <c r="E240" i="8"/>
  <c r="D240" i="8"/>
  <c r="E239" i="8"/>
  <c r="D239" i="8"/>
  <c r="E238" i="8"/>
  <c r="D238" i="8"/>
  <c r="E237" i="8"/>
  <c r="D237" i="8"/>
  <c r="E236" i="8"/>
  <c r="D236" i="8"/>
  <c r="E235" i="8"/>
  <c r="D235" i="8"/>
  <c r="E234" i="8"/>
  <c r="D234" i="8"/>
  <c r="E233" i="8"/>
  <c r="D233" i="8"/>
  <c r="E232" i="8"/>
  <c r="D232" i="8"/>
  <c r="E231" i="8"/>
  <c r="D231" i="8"/>
  <c r="E230" i="8"/>
  <c r="D230" i="8"/>
  <c r="E229" i="8"/>
  <c r="D229" i="8"/>
  <c r="E228" i="8"/>
  <c r="D228" i="8"/>
  <c r="E227" i="8"/>
  <c r="D227" i="8"/>
  <c r="E226" i="8"/>
  <c r="D226" i="8"/>
  <c r="E225" i="8"/>
  <c r="D225" i="8"/>
  <c r="E224" i="8"/>
  <c r="D224" i="8"/>
  <c r="E223" i="8"/>
  <c r="D223" i="8"/>
  <c r="E222" i="8"/>
  <c r="D222" i="8"/>
  <c r="E221" i="8"/>
  <c r="D221" i="8"/>
  <c r="E220" i="8"/>
  <c r="D220" i="8"/>
  <c r="E219" i="8"/>
  <c r="D219" i="8"/>
  <c r="E218" i="8"/>
  <c r="D218" i="8"/>
  <c r="E217" i="8"/>
  <c r="D217" i="8"/>
  <c r="E216" i="8"/>
  <c r="D216" i="8"/>
  <c r="E215" i="8"/>
  <c r="D215" i="8"/>
  <c r="E214" i="8"/>
  <c r="D214" i="8"/>
  <c r="E213" i="8"/>
  <c r="D213" i="8"/>
  <c r="E212" i="8"/>
  <c r="D212" i="8"/>
  <c r="E211" i="8"/>
  <c r="D211" i="8"/>
  <c r="E210" i="8"/>
  <c r="D210" i="8"/>
  <c r="E209" i="8"/>
  <c r="D209" i="8"/>
  <c r="E208" i="8"/>
  <c r="D208" i="8"/>
  <c r="E207" i="8"/>
  <c r="D207" i="8"/>
  <c r="E206" i="8"/>
  <c r="D206" i="8"/>
  <c r="E205" i="8"/>
  <c r="D205" i="8"/>
  <c r="E204" i="8"/>
  <c r="D204" i="8"/>
  <c r="E203" i="8"/>
  <c r="D203" i="8"/>
  <c r="E202" i="8"/>
  <c r="D202" i="8"/>
  <c r="E201" i="8"/>
  <c r="D201" i="8"/>
  <c r="E200" i="8"/>
  <c r="D200" i="8"/>
  <c r="E199" i="8"/>
  <c r="D199" i="8"/>
  <c r="E198" i="8"/>
  <c r="D198" i="8"/>
  <c r="E197" i="8"/>
  <c r="D197" i="8"/>
  <c r="E196" i="8"/>
  <c r="D196" i="8"/>
  <c r="E195" i="8"/>
  <c r="D195" i="8"/>
  <c r="E194" i="8"/>
  <c r="D194" i="8"/>
  <c r="E193" i="8"/>
  <c r="D193" i="8"/>
  <c r="E192" i="8"/>
  <c r="D192" i="8"/>
  <c r="E191" i="8"/>
  <c r="D191" i="8"/>
  <c r="E190" i="8"/>
  <c r="D190" i="8"/>
  <c r="E189" i="8"/>
  <c r="D189" i="8"/>
  <c r="E188" i="8"/>
  <c r="D188" i="8"/>
  <c r="E187" i="8"/>
  <c r="D187" i="8"/>
  <c r="E186" i="8"/>
  <c r="D186" i="8"/>
  <c r="E185" i="8"/>
  <c r="D185" i="8"/>
  <c r="E184" i="8"/>
  <c r="D184" i="8"/>
  <c r="E183" i="8"/>
  <c r="D183" i="8"/>
  <c r="E182" i="8"/>
  <c r="D182" i="8"/>
  <c r="E181" i="8"/>
  <c r="D181" i="8"/>
  <c r="E180" i="8"/>
  <c r="D180" i="8"/>
  <c r="E179" i="8"/>
  <c r="D179" i="8"/>
  <c r="E178" i="8"/>
  <c r="D178" i="8"/>
  <c r="E177" i="8"/>
  <c r="D177" i="8"/>
  <c r="E176" i="8"/>
  <c r="D176" i="8"/>
  <c r="E175" i="8"/>
  <c r="D175" i="8"/>
  <c r="E174" i="8"/>
  <c r="D174" i="8"/>
  <c r="E173" i="8"/>
  <c r="D173" i="8"/>
  <c r="E172" i="8"/>
  <c r="D172" i="8"/>
  <c r="E171" i="8"/>
  <c r="D171" i="8"/>
  <c r="E170" i="8"/>
  <c r="D170" i="8"/>
  <c r="E169" i="8"/>
  <c r="D169" i="8"/>
  <c r="E168" i="8"/>
  <c r="D168" i="8"/>
  <c r="E167" i="8"/>
  <c r="D167" i="8"/>
  <c r="E166" i="8"/>
  <c r="D166" i="8"/>
  <c r="E165" i="8"/>
  <c r="D165" i="8"/>
  <c r="E164" i="8"/>
  <c r="D164" i="8"/>
  <c r="E163" i="8"/>
  <c r="D163" i="8"/>
  <c r="E162" i="8"/>
  <c r="D162" i="8"/>
  <c r="E161" i="8"/>
  <c r="D161" i="8"/>
  <c r="E160" i="8"/>
  <c r="D160" i="8"/>
  <c r="E159" i="8"/>
  <c r="D159" i="8"/>
  <c r="E158" i="8"/>
  <c r="D158" i="8"/>
  <c r="E157" i="8"/>
  <c r="D157" i="8"/>
  <c r="E156" i="8"/>
  <c r="D156" i="8"/>
  <c r="E155" i="8"/>
  <c r="D155" i="8"/>
  <c r="E154" i="8"/>
  <c r="D154" i="8"/>
  <c r="E153" i="8"/>
  <c r="D153" i="8"/>
  <c r="E152" i="8"/>
  <c r="D152" i="8"/>
  <c r="E151" i="8"/>
  <c r="D151" i="8"/>
  <c r="E150" i="8"/>
  <c r="D150" i="8"/>
  <c r="E149" i="8"/>
  <c r="D149" i="8"/>
  <c r="E148" i="8"/>
  <c r="D148" i="8"/>
  <c r="E147" i="8"/>
  <c r="D147" i="8"/>
  <c r="E146" i="8"/>
  <c r="D146" i="8"/>
  <c r="E145" i="8"/>
  <c r="D145" i="8"/>
  <c r="E144" i="8"/>
  <c r="D144" i="8"/>
  <c r="E143" i="8"/>
  <c r="D143" i="8"/>
  <c r="E142" i="8"/>
  <c r="D142" i="8"/>
  <c r="E141" i="8"/>
  <c r="D141" i="8"/>
  <c r="E140" i="8"/>
  <c r="D140" i="8"/>
  <c r="E139" i="8"/>
  <c r="D139" i="8"/>
  <c r="E138" i="8"/>
  <c r="D138" i="8"/>
  <c r="E137" i="8"/>
  <c r="D137" i="8"/>
  <c r="E136" i="8"/>
  <c r="D136" i="8"/>
  <c r="E135" i="8"/>
  <c r="D135" i="8"/>
  <c r="E134" i="8"/>
  <c r="D134" i="8"/>
  <c r="E133" i="8"/>
  <c r="D133" i="8"/>
  <c r="E132" i="8"/>
  <c r="D132" i="8"/>
  <c r="E131" i="8"/>
  <c r="D131" i="8"/>
  <c r="E130" i="8"/>
  <c r="D130" i="8"/>
  <c r="E129" i="8"/>
  <c r="D129" i="8"/>
  <c r="E128" i="8"/>
  <c r="D128" i="8"/>
  <c r="E127" i="8"/>
  <c r="D127" i="8"/>
  <c r="E126" i="8"/>
  <c r="D126" i="8"/>
  <c r="E125" i="8"/>
  <c r="D125" i="8"/>
  <c r="E124" i="8"/>
  <c r="D124" i="8"/>
  <c r="E123" i="8"/>
  <c r="D123" i="8"/>
  <c r="E122" i="8"/>
  <c r="D122" i="8"/>
  <c r="E121" i="8"/>
  <c r="D121" i="8"/>
  <c r="E120" i="8"/>
  <c r="D120" i="8"/>
  <c r="E119" i="8"/>
  <c r="D119" i="8"/>
  <c r="E118" i="8"/>
  <c r="D118" i="8"/>
  <c r="E117" i="8"/>
  <c r="D117" i="8"/>
  <c r="E116" i="8"/>
  <c r="D116" i="8"/>
  <c r="E115" i="8"/>
  <c r="D115" i="8"/>
  <c r="E114" i="8"/>
  <c r="D114" i="8"/>
  <c r="E113" i="8"/>
  <c r="D113" i="8"/>
  <c r="E112" i="8"/>
  <c r="D112" i="8"/>
  <c r="E111" i="8"/>
  <c r="D111" i="8"/>
  <c r="E110" i="8"/>
  <c r="D110" i="8"/>
  <c r="E109" i="8"/>
  <c r="D109" i="8"/>
  <c r="E108" i="8"/>
  <c r="D108" i="8"/>
  <c r="E107" i="8"/>
  <c r="D107" i="8"/>
  <c r="E106" i="8"/>
  <c r="D106" i="8"/>
  <c r="E105" i="8"/>
  <c r="D105" i="8"/>
  <c r="E104" i="8"/>
  <c r="D104" i="8"/>
  <c r="E103" i="8"/>
  <c r="D103" i="8"/>
  <c r="E102" i="8"/>
  <c r="D102" i="8"/>
  <c r="E101" i="8"/>
  <c r="D101" i="8"/>
  <c r="E100" i="8"/>
  <c r="D100" i="8"/>
  <c r="E99" i="8"/>
  <c r="D99" i="8"/>
  <c r="E98" i="8"/>
  <c r="D98" i="8"/>
  <c r="E97" i="8"/>
  <c r="D97" i="8"/>
  <c r="E96" i="8"/>
  <c r="D96" i="8"/>
  <c r="E95" i="8"/>
  <c r="D95" i="8"/>
  <c r="E94" i="8"/>
  <c r="D94" i="8"/>
  <c r="E93" i="8"/>
  <c r="D93" i="8"/>
  <c r="E92" i="8"/>
  <c r="D92" i="8"/>
  <c r="E91" i="8"/>
  <c r="D91" i="8"/>
  <c r="E90" i="8"/>
  <c r="D90" i="8"/>
  <c r="E89" i="8"/>
  <c r="D89" i="8"/>
  <c r="E88" i="8"/>
  <c r="D88" i="8"/>
  <c r="E87" i="8"/>
  <c r="D87" i="8"/>
  <c r="E86" i="8"/>
  <c r="D86" i="8"/>
  <c r="E85" i="8"/>
  <c r="D85" i="8"/>
  <c r="E84" i="8"/>
  <c r="D84" i="8"/>
  <c r="E83" i="8"/>
  <c r="D83" i="8"/>
  <c r="E82" i="8"/>
  <c r="D82" i="8"/>
  <c r="E81" i="8"/>
  <c r="D81" i="8"/>
  <c r="E80" i="8"/>
  <c r="D80" i="8"/>
  <c r="E79" i="8"/>
  <c r="D79" i="8"/>
  <c r="E78" i="8"/>
  <c r="D78" i="8"/>
  <c r="E77" i="8"/>
  <c r="D77" i="8"/>
  <c r="E76" i="8"/>
  <c r="D76" i="8"/>
  <c r="E75" i="8"/>
  <c r="D75" i="8"/>
  <c r="E74" i="8"/>
  <c r="D74" i="8"/>
  <c r="E73" i="8"/>
  <c r="D73" i="8"/>
  <c r="E72" i="8"/>
  <c r="D72" i="8"/>
  <c r="E71" i="8"/>
  <c r="D71" i="8"/>
  <c r="E70" i="8"/>
  <c r="D70" i="8"/>
  <c r="E69" i="8"/>
  <c r="D69" i="8"/>
  <c r="E68" i="8"/>
  <c r="D68" i="8"/>
  <c r="E67" i="8"/>
  <c r="D67" i="8"/>
  <c r="E66" i="8"/>
  <c r="D66" i="8"/>
  <c r="E65" i="8"/>
  <c r="D65" i="8"/>
  <c r="E64" i="8"/>
  <c r="D64" i="8"/>
  <c r="E63" i="8"/>
  <c r="D63" i="8"/>
  <c r="E62" i="8"/>
  <c r="D62" i="8"/>
  <c r="E61" i="8"/>
  <c r="D61" i="8"/>
  <c r="E60" i="8"/>
  <c r="D60" i="8"/>
  <c r="E59" i="8"/>
  <c r="D59" i="8"/>
  <c r="E58" i="8"/>
  <c r="D58" i="8"/>
  <c r="E57" i="8"/>
  <c r="D57" i="8"/>
  <c r="E56" i="8"/>
  <c r="D56" i="8"/>
  <c r="E55" i="8"/>
  <c r="D55" i="8"/>
  <c r="E54" i="8"/>
  <c r="D54" i="8"/>
  <c r="E53" i="8"/>
  <c r="D53" i="8"/>
  <c r="E52" i="8"/>
  <c r="D52" i="8"/>
  <c r="E51" i="8"/>
  <c r="D51" i="8"/>
  <c r="E50" i="8"/>
  <c r="D50" i="8"/>
  <c r="E49" i="8"/>
  <c r="D49" i="8"/>
  <c r="E48" i="8"/>
  <c r="D48" i="8"/>
  <c r="E47" i="8"/>
  <c r="D47" i="8"/>
  <c r="E46" i="8"/>
  <c r="D46" i="8"/>
  <c r="E45" i="8"/>
  <c r="D45" i="8"/>
  <c r="E44" i="8"/>
  <c r="D44" i="8"/>
  <c r="E43" i="8"/>
  <c r="D43" i="8"/>
  <c r="E42" i="8"/>
  <c r="D42" i="8"/>
  <c r="E41" i="8"/>
  <c r="D41" i="8"/>
  <c r="E40" i="8"/>
  <c r="D40" i="8"/>
  <c r="E39" i="8"/>
  <c r="D39" i="8"/>
  <c r="E38" i="8"/>
  <c r="D38" i="8"/>
  <c r="E37" i="8"/>
  <c r="D37" i="8"/>
  <c r="E36" i="8"/>
  <c r="D36" i="8"/>
  <c r="E35" i="8"/>
  <c r="D35" i="8"/>
  <c r="E34" i="8"/>
  <c r="D34" i="8"/>
  <c r="E33" i="8"/>
  <c r="D33" i="8"/>
  <c r="E32" i="8"/>
  <c r="D32" i="8"/>
  <c r="E31" i="8"/>
  <c r="D31" i="8"/>
  <c r="E30" i="8"/>
  <c r="D30" i="8"/>
  <c r="E29" i="8"/>
  <c r="D29" i="8"/>
  <c r="E28" i="8"/>
  <c r="D28" i="8"/>
  <c r="E27" i="8"/>
  <c r="D27" i="8"/>
  <c r="E26" i="8"/>
  <c r="D26" i="8"/>
  <c r="E25" i="8"/>
  <c r="D25" i="8"/>
  <c r="E24" i="8"/>
  <c r="D24" i="8"/>
  <c r="E23" i="8"/>
  <c r="D23" i="8"/>
  <c r="E22" i="8"/>
  <c r="D22" i="8"/>
  <c r="E21" i="8"/>
  <c r="D21" i="8"/>
  <c r="E20" i="8"/>
  <c r="D20" i="8"/>
  <c r="E19" i="8"/>
  <c r="D19" i="8"/>
  <c r="E18" i="8"/>
  <c r="D18" i="8"/>
  <c r="E17" i="8"/>
  <c r="D17" i="8"/>
  <c r="E16" i="8"/>
  <c r="D16" i="8"/>
  <c r="E15" i="8"/>
  <c r="D15" i="8"/>
  <c r="E14" i="8"/>
  <c r="D14" i="8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G3" i="8"/>
  <c r="F3" i="8"/>
  <c r="E3" i="8"/>
  <c r="D3" i="8"/>
  <c r="H45" i="7"/>
  <c r="G45" i="7"/>
  <c r="F45" i="7"/>
  <c r="E45" i="7"/>
  <c r="D45" i="7"/>
  <c r="C45" i="7"/>
  <c r="B45" i="7"/>
  <c r="A45" i="7"/>
  <c r="H44" i="7"/>
  <c r="G44" i="7"/>
  <c r="F44" i="7"/>
  <c r="E44" i="7"/>
  <c r="D44" i="7"/>
  <c r="C44" i="7"/>
  <c r="B44" i="7"/>
  <c r="A44" i="7"/>
  <c r="H43" i="7"/>
  <c r="G43" i="7"/>
  <c r="F43" i="7"/>
  <c r="E43" i="7"/>
  <c r="D43" i="7"/>
  <c r="C43" i="7"/>
  <c r="B43" i="7"/>
  <c r="A43" i="7"/>
  <c r="H42" i="7"/>
  <c r="G42" i="7"/>
  <c r="F42" i="7"/>
  <c r="E42" i="7"/>
  <c r="D42" i="7"/>
  <c r="C42" i="7"/>
  <c r="B42" i="7"/>
  <c r="A42" i="7"/>
  <c r="H41" i="7"/>
  <c r="G41" i="7"/>
  <c r="F41" i="7"/>
  <c r="E41" i="7"/>
  <c r="D41" i="7"/>
  <c r="C41" i="7"/>
  <c r="B41" i="7"/>
  <c r="A41" i="7"/>
  <c r="H40" i="7"/>
  <c r="G40" i="7"/>
  <c r="F40" i="7"/>
  <c r="E40" i="7"/>
  <c r="D40" i="7"/>
  <c r="C40" i="7"/>
  <c r="B40" i="7"/>
  <c r="A40" i="7"/>
  <c r="H39" i="7"/>
  <c r="G39" i="7"/>
  <c r="F39" i="7"/>
  <c r="E39" i="7"/>
  <c r="D39" i="7"/>
  <c r="C39" i="7"/>
  <c r="B39" i="7"/>
  <c r="A39" i="7"/>
  <c r="H38" i="7"/>
  <c r="G38" i="7"/>
  <c r="F38" i="7"/>
  <c r="E38" i="7"/>
  <c r="D38" i="7"/>
  <c r="C38" i="7"/>
  <c r="B38" i="7"/>
  <c r="A38" i="7"/>
  <c r="H37" i="7"/>
  <c r="G37" i="7"/>
  <c r="F37" i="7"/>
  <c r="E37" i="7"/>
  <c r="D37" i="7"/>
  <c r="C37" i="7"/>
  <c r="B37" i="7"/>
  <c r="A37" i="7"/>
  <c r="H36" i="7"/>
  <c r="G36" i="7"/>
  <c r="F36" i="7"/>
  <c r="E36" i="7"/>
  <c r="D36" i="7"/>
  <c r="C36" i="7"/>
  <c r="B36" i="7"/>
  <c r="A36" i="7"/>
  <c r="H35" i="7"/>
  <c r="G35" i="7"/>
  <c r="F35" i="7"/>
  <c r="E35" i="7"/>
  <c r="D35" i="7"/>
  <c r="C35" i="7"/>
  <c r="B35" i="7"/>
  <c r="A35" i="7"/>
  <c r="H34" i="7"/>
  <c r="G34" i="7"/>
  <c r="F34" i="7"/>
  <c r="E34" i="7"/>
  <c r="D34" i="7"/>
  <c r="C34" i="7"/>
  <c r="B34" i="7"/>
  <c r="A34" i="7"/>
  <c r="H33" i="7"/>
  <c r="G33" i="7"/>
  <c r="F33" i="7"/>
  <c r="E33" i="7"/>
  <c r="D33" i="7"/>
  <c r="C33" i="7"/>
  <c r="B33" i="7"/>
  <c r="A33" i="7"/>
  <c r="H32" i="7"/>
  <c r="G32" i="7"/>
  <c r="F32" i="7"/>
  <c r="E32" i="7"/>
  <c r="D32" i="7"/>
  <c r="C32" i="7"/>
  <c r="B32" i="7"/>
  <c r="A32" i="7"/>
  <c r="H31" i="7"/>
  <c r="G31" i="7"/>
  <c r="F31" i="7"/>
  <c r="E31" i="7"/>
  <c r="D31" i="7"/>
  <c r="C31" i="7"/>
  <c r="B31" i="7"/>
  <c r="A31" i="7"/>
  <c r="H30" i="7"/>
  <c r="G30" i="7"/>
  <c r="F30" i="7"/>
  <c r="E30" i="7"/>
  <c r="D30" i="7"/>
  <c r="C30" i="7"/>
  <c r="B30" i="7"/>
  <c r="A30" i="7"/>
  <c r="H29" i="7"/>
  <c r="G29" i="7"/>
  <c r="F29" i="7"/>
  <c r="E29" i="7"/>
  <c r="D29" i="7"/>
  <c r="C29" i="7"/>
  <c r="B29" i="7"/>
  <c r="A29" i="7"/>
  <c r="H28" i="7"/>
  <c r="G28" i="7"/>
  <c r="F28" i="7"/>
  <c r="E28" i="7"/>
  <c r="D28" i="7"/>
  <c r="C28" i="7"/>
  <c r="B28" i="7"/>
  <c r="A28" i="7"/>
  <c r="H27" i="7"/>
  <c r="G27" i="7"/>
  <c r="F27" i="7"/>
  <c r="E27" i="7"/>
  <c r="D27" i="7"/>
  <c r="C27" i="7"/>
  <c r="B27" i="7"/>
  <c r="A27" i="7"/>
  <c r="H26" i="7"/>
  <c r="G26" i="7"/>
  <c r="F26" i="7"/>
  <c r="E26" i="7"/>
  <c r="D26" i="7"/>
  <c r="C26" i="7"/>
  <c r="B26" i="7"/>
  <c r="A26" i="7"/>
  <c r="H25" i="7"/>
  <c r="G25" i="7"/>
  <c r="F25" i="7"/>
  <c r="E25" i="7"/>
  <c r="D25" i="7"/>
  <c r="C25" i="7"/>
  <c r="B25" i="7"/>
  <c r="A25" i="7"/>
  <c r="H24" i="7"/>
  <c r="G24" i="7"/>
  <c r="F24" i="7"/>
  <c r="E24" i="7"/>
  <c r="D24" i="7"/>
  <c r="C24" i="7"/>
  <c r="B24" i="7"/>
  <c r="A24" i="7"/>
  <c r="H23" i="7"/>
  <c r="G23" i="7"/>
  <c r="F23" i="7"/>
  <c r="E23" i="7"/>
  <c r="D23" i="7"/>
  <c r="C23" i="7"/>
  <c r="B23" i="7"/>
  <c r="A23" i="7"/>
  <c r="H22" i="7"/>
  <c r="G22" i="7"/>
  <c r="F22" i="7"/>
  <c r="E22" i="7"/>
  <c r="D22" i="7"/>
  <c r="C22" i="7"/>
  <c r="B22" i="7"/>
  <c r="A22" i="7"/>
  <c r="H21" i="7"/>
  <c r="G21" i="7"/>
  <c r="F21" i="7"/>
  <c r="E21" i="7"/>
  <c r="D21" i="7"/>
  <c r="C21" i="7"/>
  <c r="B21" i="7"/>
  <c r="A21" i="7"/>
  <c r="H20" i="7"/>
  <c r="G20" i="7"/>
  <c r="F20" i="7"/>
  <c r="E20" i="7"/>
  <c r="D20" i="7"/>
  <c r="C20" i="7"/>
  <c r="B20" i="7"/>
  <c r="A20" i="7"/>
  <c r="H19" i="7"/>
  <c r="G19" i="7"/>
  <c r="F19" i="7"/>
  <c r="E19" i="7"/>
  <c r="D19" i="7"/>
  <c r="C19" i="7"/>
  <c r="B19" i="7"/>
  <c r="A19" i="7"/>
  <c r="H18" i="7"/>
  <c r="G18" i="7"/>
  <c r="F18" i="7"/>
  <c r="E18" i="7"/>
  <c r="D18" i="7"/>
  <c r="C18" i="7"/>
  <c r="B18" i="7"/>
  <c r="A18" i="7"/>
  <c r="H17" i="7"/>
  <c r="G17" i="7"/>
  <c r="F17" i="7"/>
  <c r="E17" i="7"/>
  <c r="D17" i="7"/>
  <c r="C17" i="7"/>
  <c r="B17" i="7"/>
  <c r="A17" i="7"/>
  <c r="H16" i="7"/>
  <c r="G16" i="7"/>
  <c r="F16" i="7"/>
  <c r="E16" i="7"/>
  <c r="D16" i="7"/>
  <c r="C16" i="7"/>
  <c r="B16" i="7"/>
  <c r="A16" i="7"/>
  <c r="H15" i="7"/>
  <c r="G15" i="7"/>
  <c r="F15" i="7"/>
  <c r="E15" i="7"/>
  <c r="D15" i="7"/>
  <c r="C15" i="7"/>
  <c r="B15" i="7"/>
  <c r="A15" i="7"/>
  <c r="H14" i="7"/>
  <c r="G14" i="7"/>
  <c r="F14" i="7"/>
  <c r="E14" i="7"/>
  <c r="D14" i="7"/>
  <c r="C14" i="7"/>
  <c r="B14" i="7"/>
  <c r="A14" i="7"/>
  <c r="H13" i="7"/>
  <c r="G13" i="7"/>
  <c r="F13" i="7"/>
  <c r="E13" i="7"/>
  <c r="D13" i="7"/>
  <c r="C13" i="7"/>
  <c r="B13" i="7"/>
  <c r="A13" i="7"/>
  <c r="H12" i="7"/>
  <c r="G12" i="7"/>
  <c r="F12" i="7"/>
  <c r="E12" i="7"/>
  <c r="D12" i="7"/>
  <c r="C12" i="7"/>
  <c r="B12" i="7"/>
  <c r="A12" i="7"/>
  <c r="H11" i="7"/>
  <c r="G11" i="7"/>
  <c r="F11" i="7"/>
  <c r="E11" i="7"/>
  <c r="D11" i="7"/>
  <c r="C11" i="7"/>
  <c r="B11" i="7"/>
  <c r="A11" i="7"/>
  <c r="H10" i="7"/>
  <c r="G10" i="7"/>
  <c r="F10" i="7"/>
  <c r="E10" i="7"/>
  <c r="D10" i="7"/>
  <c r="C10" i="7"/>
  <c r="B10" i="7"/>
  <c r="A10" i="7"/>
  <c r="H9" i="7"/>
  <c r="G9" i="7"/>
  <c r="F9" i="7"/>
  <c r="E9" i="7"/>
  <c r="D9" i="7"/>
  <c r="C9" i="7"/>
  <c r="B9" i="7"/>
  <c r="A9" i="7"/>
  <c r="H8" i="7"/>
  <c r="G8" i="7"/>
  <c r="F8" i="7"/>
  <c r="E8" i="7"/>
  <c r="D8" i="7"/>
  <c r="C8" i="7"/>
  <c r="B8" i="7"/>
  <c r="A8" i="7"/>
  <c r="H7" i="7"/>
  <c r="G7" i="7"/>
  <c r="F7" i="7"/>
  <c r="E7" i="7"/>
  <c r="D7" i="7"/>
  <c r="C7" i="7"/>
  <c r="B7" i="7"/>
  <c r="A7" i="7"/>
  <c r="H6" i="7"/>
  <c r="G6" i="7"/>
  <c r="F6" i="7"/>
  <c r="E6" i="7"/>
  <c r="D6" i="7"/>
  <c r="C6" i="7"/>
  <c r="B6" i="7"/>
  <c r="A6" i="7"/>
  <c r="H5" i="7"/>
  <c r="G5" i="7"/>
  <c r="F5" i="7"/>
  <c r="E5" i="7"/>
  <c r="D5" i="7"/>
  <c r="C5" i="7"/>
  <c r="B5" i="7"/>
  <c r="A5" i="7"/>
  <c r="H4" i="7"/>
  <c r="G4" i="7"/>
  <c r="F4" i="7"/>
  <c r="E4" i="7"/>
  <c r="D4" i="7"/>
  <c r="C4" i="7"/>
  <c r="B4" i="7"/>
  <c r="A4" i="7"/>
  <c r="I8" i="5"/>
  <c r="I10" i="5" s="1"/>
  <c r="I6" i="5"/>
  <c r="D6" i="11" l="1"/>
  <c r="D7" i="12"/>
  <c r="E6" i="11"/>
  <c r="E7" i="12"/>
  <c r="C7" i="12"/>
  <c r="C6" i="11"/>
  <c r="B10" i="17"/>
  <c r="F6" i="12"/>
  <c r="D27" i="10"/>
  <c r="D34" i="10" s="1"/>
  <c r="D28" i="10"/>
  <c r="D35" i="10" s="1"/>
  <c r="D16" i="10"/>
  <c r="B16" i="10"/>
  <c r="B27" i="10"/>
  <c r="B10" i="10"/>
  <c r="B28" i="10"/>
  <c r="F9" i="13"/>
  <c r="F5" i="11"/>
  <c r="C5" i="11"/>
  <c r="C7" i="11" s="1"/>
  <c r="C9" i="13"/>
  <c r="D30" i="10"/>
  <c r="H30" i="10" s="1"/>
  <c r="I30" i="10"/>
  <c r="E30" i="10"/>
  <c r="N4" i="16"/>
  <c r="O4" i="16" s="1"/>
  <c r="C4" i="16"/>
  <c r="B4" i="9"/>
  <c r="B6" i="9" s="1"/>
  <c r="B25" i="9" s="1"/>
  <c r="D25" i="9" s="1"/>
  <c r="E17" i="10"/>
  <c r="D3" i="13"/>
  <c r="D8" i="13" s="1"/>
  <c r="D4" i="13"/>
  <c r="B9" i="14"/>
  <c r="C4" i="14"/>
  <c r="G11" i="15"/>
  <c r="G12" i="15"/>
  <c r="H12" i="15" s="1"/>
  <c r="G13" i="15"/>
  <c r="H6" i="15"/>
  <c r="Q32" i="18"/>
  <c r="P32" i="18"/>
  <c r="O32" i="18"/>
  <c r="D5" i="18"/>
  <c r="E5" i="18" s="1"/>
  <c r="B5" i="9"/>
  <c r="B24" i="9" s="1"/>
  <c r="B26" i="9" s="1"/>
  <c r="D29" i="10"/>
  <c r="I29" i="10" s="1"/>
  <c r="C8" i="14"/>
  <c r="D42" i="14"/>
  <c r="L12" i="15"/>
  <c r="L13" i="15"/>
  <c r="M13" i="15" s="1"/>
  <c r="G10" i="15"/>
  <c r="H10" i="15" s="1"/>
  <c r="D17" i="18"/>
  <c r="B5" i="19"/>
  <c r="H10" i="18"/>
  <c r="M7" i="18"/>
  <c r="L10" i="15"/>
  <c r="I17" i="18"/>
  <c r="G17" i="18"/>
  <c r="B7" i="9"/>
  <c r="F5" i="18"/>
  <c r="E26" i="10"/>
  <c r="E33" i="10" s="1"/>
  <c r="E36" i="10" s="1"/>
  <c r="D9" i="14"/>
  <c r="R6" i="15"/>
  <c r="Q10" i="15"/>
  <c r="R10" i="15" s="1"/>
  <c r="Q12" i="15"/>
  <c r="R12" i="15" s="1"/>
  <c r="M8" i="15"/>
  <c r="L15" i="15" s="1"/>
  <c r="D4" i="10"/>
  <c r="H4" i="10" s="1"/>
  <c r="B3" i="16"/>
  <c r="F9" i="14"/>
  <c r="E9" i="14"/>
  <c r="H5" i="15"/>
  <c r="G15" i="15" s="1"/>
  <c r="R8" i="15"/>
  <c r="H11" i="18"/>
  <c r="E4" i="10"/>
  <c r="D10" i="10"/>
  <c r="F28" i="10"/>
  <c r="F35" i="10" s="1"/>
  <c r="F36" i="10" s="1"/>
  <c r="E5" i="11"/>
  <c r="E7" i="11" s="1"/>
  <c r="D4" i="14"/>
  <c r="L11" i="15"/>
  <c r="M11" i="15" s="1"/>
  <c r="E4" i="14"/>
  <c r="O29" i="18"/>
  <c r="F10" i="10"/>
  <c r="D17" i="10"/>
  <c r="H17" i="10" s="1"/>
  <c r="D26" i="10"/>
  <c r="Q15" i="15"/>
  <c r="L9" i="15"/>
  <c r="M9" i="15" s="1"/>
  <c r="P22" i="18"/>
  <c r="O25" i="18"/>
  <c r="J11" i="18"/>
  <c r="C17" i="18" s="1"/>
  <c r="F17" i="18" s="1"/>
  <c r="O20" i="18"/>
  <c r="Q22" i="18"/>
  <c r="P25" i="18"/>
  <c r="H4" i="19"/>
  <c r="M6" i="18"/>
  <c r="C11" i="18"/>
  <c r="K11" i="18"/>
  <c r="C15" i="18" s="1"/>
  <c r="F15" i="18" s="1"/>
  <c r="P20" i="18"/>
  <c r="O23" i="18"/>
  <c r="Q25" i="18"/>
  <c r="L11" i="18"/>
  <c r="C16" i="18" s="1"/>
  <c r="Q20" i="18"/>
  <c r="P23" i="18"/>
  <c r="O21" i="18"/>
  <c r="Q23" i="18"/>
  <c r="P21" i="18"/>
  <c r="O24" i="18"/>
  <c r="K10" i="18"/>
  <c r="B15" i="18" s="1"/>
  <c r="Q21" i="18"/>
  <c r="P24" i="18"/>
  <c r="H15" i="18" l="1"/>
  <c r="J15" i="18" s="1"/>
  <c r="M15" i="18" s="1"/>
  <c r="F28" i="14"/>
  <c r="F11" i="10" s="1"/>
  <c r="F11" i="14"/>
  <c r="F5" i="10"/>
  <c r="F18" i="10"/>
  <c r="D11" i="14"/>
  <c r="D18" i="10"/>
  <c r="D28" i="14"/>
  <c r="D11" i="10" s="1"/>
  <c r="H13" i="15"/>
  <c r="G16" i="15" s="1"/>
  <c r="H29" i="10"/>
  <c r="H26" i="10"/>
  <c r="B35" i="10"/>
  <c r="H11" i="15"/>
  <c r="D4" i="16"/>
  <c r="E4" i="16" s="1"/>
  <c r="F4" i="16" s="1"/>
  <c r="G4" i="16" s="1"/>
  <c r="H4" i="16" s="1"/>
  <c r="I4" i="16" s="1"/>
  <c r="J4" i="16" s="1"/>
  <c r="K4" i="16" s="1"/>
  <c r="L4" i="16" s="1"/>
  <c r="F6" i="11"/>
  <c r="F7" i="11" s="1"/>
  <c r="F7" i="12"/>
  <c r="C10" i="12" s="1"/>
  <c r="R11" i="15"/>
  <c r="Q16" i="15" s="1"/>
  <c r="P30" i="18"/>
  <c r="O30" i="18"/>
  <c r="K5" i="18"/>
  <c r="D15" i="18" s="1"/>
  <c r="Q30" i="18"/>
  <c r="B24" i="14"/>
  <c r="N7" i="16" s="1"/>
  <c r="B34" i="10"/>
  <c r="R13" i="15"/>
  <c r="F16" i="18"/>
  <c r="H16" i="18" s="1"/>
  <c r="J16" i="18" s="1"/>
  <c r="M16" i="18" s="1"/>
  <c r="B28" i="14"/>
  <c r="B11" i="10" s="1"/>
  <c r="B18" i="10"/>
  <c r="B11" i="14"/>
  <c r="O31" i="18"/>
  <c r="O34" i="18" s="1"/>
  <c r="E15" i="18"/>
  <c r="G15" i="18" s="1"/>
  <c r="I15" i="18" s="1"/>
  <c r="Q29" i="18"/>
  <c r="Q34" i="18"/>
  <c r="L17" i="18"/>
  <c r="E30" i="19"/>
  <c r="H30" i="19" s="1"/>
  <c r="M12" i="15"/>
  <c r="L16" i="15" s="1"/>
  <c r="I4" i="10"/>
  <c r="I17" i="10"/>
  <c r="C9" i="12"/>
  <c r="M10" i="15"/>
  <c r="D9" i="13"/>
  <c r="C12" i="13" s="1"/>
  <c r="D5" i="11"/>
  <c r="D7" i="11" s="1"/>
  <c r="B8" i="16"/>
  <c r="C3" i="16"/>
  <c r="D3" i="16" s="1"/>
  <c r="E3" i="16" s="1"/>
  <c r="F3" i="16" s="1"/>
  <c r="G3" i="16" s="1"/>
  <c r="H3" i="16" s="1"/>
  <c r="I3" i="16" s="1"/>
  <c r="J3" i="16" s="1"/>
  <c r="K3" i="16" s="1"/>
  <c r="L3" i="16" s="1"/>
  <c r="M11" i="18"/>
  <c r="M10" i="18"/>
  <c r="J17" i="18"/>
  <c r="M17" i="18" s="1"/>
  <c r="H17" i="18"/>
  <c r="D33" i="10"/>
  <c r="I26" i="10"/>
  <c r="G5" i="18"/>
  <c r="E16" i="18" s="1"/>
  <c r="G16" i="18" s="1"/>
  <c r="I16" i="18" s="1"/>
  <c r="E18" i="10"/>
  <c r="E11" i="14"/>
  <c r="E28" i="14"/>
  <c r="E11" i="10" s="1"/>
  <c r="E5" i="10"/>
  <c r="C9" i="14"/>
  <c r="D5" i="10" s="1"/>
  <c r="C16" i="10"/>
  <c r="I16" i="10" s="1"/>
  <c r="C27" i="10"/>
  <c r="C34" i="10" s="1"/>
  <c r="C10" i="10"/>
  <c r="I10" i="10" s="1"/>
  <c r="C28" i="10"/>
  <c r="C35" i="10" s="1"/>
  <c r="C36" i="10" s="1"/>
  <c r="L15" i="18" l="1"/>
  <c r="E31" i="19"/>
  <c r="H31" i="19" s="1"/>
  <c r="H11" i="10"/>
  <c r="I11" i="10"/>
  <c r="O8" i="16"/>
  <c r="P8" i="16" s="1"/>
  <c r="C9" i="16"/>
  <c r="I28" i="10"/>
  <c r="D44" i="14"/>
  <c r="D20" i="10" s="1"/>
  <c r="D38" i="14"/>
  <c r="D45" i="14" s="1"/>
  <c r="D29" i="14"/>
  <c r="D12" i="10" s="1"/>
  <c r="D14" i="14"/>
  <c r="D2" i="11"/>
  <c r="D6" i="10"/>
  <c r="D24" i="10"/>
  <c r="H28" i="10"/>
  <c r="H16" i="10"/>
  <c r="I27" i="10"/>
  <c r="H10" i="10"/>
  <c r="F29" i="14"/>
  <c r="F12" i="10" s="1"/>
  <c r="F38" i="14"/>
  <c r="F45" i="14" s="1"/>
  <c r="F44" i="14"/>
  <c r="F20" i="10" s="1"/>
  <c r="F14" i="14"/>
  <c r="F2" i="11"/>
  <c r="F24" i="10"/>
  <c r="F6" i="10"/>
  <c r="I34" i="10"/>
  <c r="H34" i="10"/>
  <c r="L5" i="18"/>
  <c r="D16" i="18" s="1"/>
  <c r="B13" i="16"/>
  <c r="C8" i="16"/>
  <c r="E32" i="19"/>
  <c r="H32" i="19" s="1"/>
  <c r="L16" i="18"/>
  <c r="P29" i="18"/>
  <c r="P31" i="18" s="1"/>
  <c r="P34" i="18" s="1"/>
  <c r="D36" i="10"/>
  <c r="I33" i="10"/>
  <c r="H33" i="10"/>
  <c r="C28" i="14"/>
  <c r="C11" i="10" s="1"/>
  <c r="C18" i="10"/>
  <c r="C11" i="14"/>
  <c r="C5" i="10"/>
  <c r="H27" i="10"/>
  <c r="B14" i="14"/>
  <c r="B24" i="10"/>
  <c r="B2" i="11"/>
  <c r="B38" i="14"/>
  <c r="B45" i="14" s="1"/>
  <c r="B29" i="14"/>
  <c r="B44" i="14"/>
  <c r="B20" i="10" s="1"/>
  <c r="C11" i="13"/>
  <c r="H5" i="18"/>
  <c r="M5" i="18" s="1"/>
  <c r="E38" i="14"/>
  <c r="E45" i="14" s="1"/>
  <c r="E29" i="14"/>
  <c r="E12" i="10" s="1"/>
  <c r="E14" i="14"/>
  <c r="E44" i="14"/>
  <c r="E20" i="10" s="1"/>
  <c r="E2" i="11"/>
  <c r="E6" i="10"/>
  <c r="E24" i="10"/>
  <c r="Q31" i="18"/>
  <c r="I18" i="10"/>
  <c r="H18" i="10"/>
  <c r="B36" i="10"/>
  <c r="I35" i="10"/>
  <c r="H35" i="10"/>
  <c r="I36" i="10" l="1"/>
  <c r="H36" i="10"/>
  <c r="B17" i="14"/>
  <c r="B30" i="14"/>
  <c r="B13" i="10" s="1"/>
  <c r="B34" i="14"/>
  <c r="E17" i="14"/>
  <c r="E30" i="14"/>
  <c r="E13" i="10" s="1"/>
  <c r="E34" i="14"/>
  <c r="D30" i="14"/>
  <c r="D13" i="10" s="1"/>
  <c r="D34" i="14"/>
  <c r="D17" i="14"/>
  <c r="I20" i="10"/>
  <c r="C44" i="14"/>
  <c r="C20" i="10" s="1"/>
  <c r="H20" i="10" s="1"/>
  <c r="C2" i="11"/>
  <c r="C6" i="10"/>
  <c r="C38" i="14"/>
  <c r="C45" i="14" s="1"/>
  <c r="C29" i="14"/>
  <c r="C12" i="10" s="1"/>
  <c r="C14" i="14"/>
  <c r="C24" i="10"/>
  <c r="I24" i="10" s="1"/>
  <c r="I5" i="10"/>
  <c r="H5" i="10"/>
  <c r="B12" i="10"/>
  <c r="B18" i="16"/>
  <c r="F17" i="14"/>
  <c r="F30" i="14"/>
  <c r="F13" i="10" s="1"/>
  <c r="F34" i="14"/>
  <c r="D9" i="16"/>
  <c r="E9" i="16" s="1"/>
  <c r="F9" i="16" s="1"/>
  <c r="G9" i="16" s="1"/>
  <c r="H9" i="16" s="1"/>
  <c r="I9" i="16" s="1"/>
  <c r="J9" i="16" s="1"/>
  <c r="K9" i="16" s="1"/>
  <c r="L9" i="16" s="1"/>
  <c r="B38" i="10" l="1"/>
  <c r="B31" i="14"/>
  <c r="B14" i="10" s="1"/>
  <c r="B39" i="10"/>
  <c r="B21" i="10"/>
  <c r="B22" i="10"/>
  <c r="B40" i="10"/>
  <c r="I12" i="10"/>
  <c r="H12" i="10"/>
  <c r="B24" i="16"/>
  <c r="B28" i="16" s="1"/>
  <c r="F38" i="10"/>
  <c r="F39" i="10"/>
  <c r="F21" i="10"/>
  <c r="F31" i="14"/>
  <c r="F14" i="10" s="1"/>
  <c r="F22" i="10"/>
  <c r="F23" i="10" s="1"/>
  <c r="F40" i="10"/>
  <c r="F7" i="10"/>
  <c r="B3" i="17"/>
  <c r="C6" i="17"/>
  <c r="D6" i="17" s="1"/>
  <c r="E6" i="17" s="1"/>
  <c r="F6" i="17" s="1"/>
  <c r="G6" i="17" s="1"/>
  <c r="H6" i="17" s="1"/>
  <c r="I6" i="17" s="1"/>
  <c r="J6" i="17" s="1"/>
  <c r="K6" i="17" s="1"/>
  <c r="L6" i="17" s="1"/>
  <c r="N6" i="17" s="1"/>
  <c r="I6" i="10"/>
  <c r="H6" i="10"/>
  <c r="E38" i="10"/>
  <c r="E7" i="10"/>
  <c r="E39" i="10"/>
  <c r="E21" i="10"/>
  <c r="E31" i="14"/>
  <c r="E14" i="10" s="1"/>
  <c r="E22" i="10"/>
  <c r="E40" i="10"/>
  <c r="H24" i="10"/>
  <c r="I13" i="10"/>
  <c r="H13" i="10"/>
  <c r="D31" i="14"/>
  <c r="D14" i="10" s="1"/>
  <c r="D38" i="10"/>
  <c r="D39" i="10"/>
  <c r="D21" i="10"/>
  <c r="D22" i="10"/>
  <c r="D23" i="10" s="1"/>
  <c r="D40" i="10"/>
  <c r="C3" i="11"/>
  <c r="C4" i="11"/>
  <c r="D8" i="16"/>
  <c r="E8" i="16" s="1"/>
  <c r="F8" i="16" s="1"/>
  <c r="G8" i="16" s="1"/>
  <c r="H8" i="16" s="1"/>
  <c r="I8" i="16" s="1"/>
  <c r="J8" i="16" s="1"/>
  <c r="K8" i="16" s="1"/>
  <c r="L8" i="16" s="1"/>
  <c r="C17" i="14"/>
  <c r="C34" i="14"/>
  <c r="C30" i="14"/>
  <c r="C13" i="10" s="1"/>
  <c r="G34" i="14"/>
  <c r="B19" i="9" s="1"/>
  <c r="B20" i="9" s="1"/>
  <c r="C24" i="9" s="1"/>
  <c r="D24" i="9" s="1"/>
  <c r="D26" i="9" s="1"/>
  <c r="Q3" i="17" s="1"/>
  <c r="J5" i="11"/>
  <c r="I40" i="10" l="1"/>
  <c r="H40" i="10"/>
  <c r="F18" i="17"/>
  <c r="E18" i="17"/>
  <c r="Q4" i="17"/>
  <c r="N14" i="17" s="1"/>
  <c r="K24" i="17"/>
  <c r="L18" i="17"/>
  <c r="D18" i="17"/>
  <c r="J18" i="17"/>
  <c r="I18" i="17"/>
  <c r="H18" i="17"/>
  <c r="G18" i="17"/>
  <c r="C18" i="17"/>
  <c r="K18" i="17"/>
  <c r="B23" i="10"/>
  <c r="E23" i="10"/>
  <c r="C8" i="11"/>
  <c r="C10" i="11"/>
  <c r="F3" i="11"/>
  <c r="F4" i="11" s="1"/>
  <c r="B3" i="11"/>
  <c r="B4" i="11" s="1"/>
  <c r="D3" i="11"/>
  <c r="D4" i="11" s="1"/>
  <c r="E3" i="11"/>
  <c r="E4" i="11" s="1"/>
  <c r="C31" i="14"/>
  <c r="C14" i="10" s="1"/>
  <c r="C38" i="10"/>
  <c r="I38" i="10" s="1"/>
  <c r="C7" i="10"/>
  <c r="C39" i="10"/>
  <c r="H39" i="10" s="1"/>
  <c r="C21" i="10"/>
  <c r="H21" i="10" s="1"/>
  <c r="C22" i="10"/>
  <c r="C40" i="10"/>
  <c r="D7" i="10"/>
  <c r="I14" i="10"/>
  <c r="H14" i="10"/>
  <c r="B12" i="11" l="1"/>
  <c r="B47" i="14" s="1"/>
  <c r="N12" i="16" s="1"/>
  <c r="L24" i="17"/>
  <c r="M24" i="17" s="1"/>
  <c r="J24" i="17"/>
  <c r="I24" i="17" s="1"/>
  <c r="E8" i="11"/>
  <c r="E10" i="11"/>
  <c r="I39" i="10"/>
  <c r="C23" i="10"/>
  <c r="H23" i="10" s="1"/>
  <c r="I21" i="10"/>
  <c r="D8" i="11"/>
  <c r="D10" i="11"/>
  <c r="B13" i="11" s="1"/>
  <c r="I7" i="10"/>
  <c r="H7" i="10"/>
  <c r="H22" i="10"/>
  <c r="H38" i="10"/>
  <c r="F8" i="11"/>
  <c r="F10" i="11"/>
  <c r="I22" i="10"/>
  <c r="O13" i="16" l="1"/>
  <c r="P13" i="16" s="1"/>
  <c r="C14" i="16"/>
  <c r="I23" i="10"/>
  <c r="C19" i="16" l="1"/>
  <c r="D14" i="16"/>
  <c r="C13" i="16"/>
  <c r="D13" i="16" l="1"/>
  <c r="D19" i="16"/>
  <c r="D4" i="17" s="1"/>
  <c r="E14" i="16"/>
  <c r="C4" i="17"/>
  <c r="C18" i="16"/>
  <c r="C3" i="17" l="1"/>
  <c r="D18" i="16"/>
  <c r="E19" i="16"/>
  <c r="E4" i="17" s="1"/>
  <c r="F14" i="16"/>
  <c r="E13" i="16"/>
  <c r="F13" i="16" s="1"/>
  <c r="G14" i="16" l="1"/>
  <c r="F19" i="16"/>
  <c r="F4" i="17" s="1"/>
  <c r="E18" i="16"/>
  <c r="D3" i="17"/>
  <c r="G13" i="16"/>
  <c r="C5" i="17"/>
  <c r="C9" i="17"/>
  <c r="C10" i="17"/>
  <c r="C11" i="17" s="1"/>
  <c r="C12" i="17" l="1"/>
  <c r="C7" i="17"/>
  <c r="C8" i="17"/>
  <c r="C13" i="17" s="1"/>
  <c r="H13" i="16"/>
  <c r="D5" i="17"/>
  <c r="D9" i="17"/>
  <c r="D10" i="17"/>
  <c r="D11" i="17" s="1"/>
  <c r="F18" i="16"/>
  <c r="E3" i="17"/>
  <c r="H14" i="16"/>
  <c r="G19" i="16"/>
  <c r="G4" i="17" s="1"/>
  <c r="F3" i="17" l="1"/>
  <c r="G18" i="16"/>
  <c r="D12" i="17"/>
  <c r="D7" i="17"/>
  <c r="D8" i="17"/>
  <c r="D13" i="17" s="1"/>
  <c r="D14" i="17" s="1"/>
  <c r="C14" i="17"/>
  <c r="I14" i="16"/>
  <c r="H19" i="16"/>
  <c r="H4" i="17" s="1"/>
  <c r="E9" i="17"/>
  <c r="E5" i="17"/>
  <c r="E10" i="17"/>
  <c r="E11" i="17" s="1"/>
  <c r="J14" i="16" l="1"/>
  <c r="I19" i="16"/>
  <c r="I4" i="17" s="1"/>
  <c r="F9" i="17"/>
  <c r="F5" i="17"/>
  <c r="F10" i="17"/>
  <c r="F11" i="17" s="1"/>
  <c r="E7" i="17"/>
  <c r="E8" i="17"/>
  <c r="E12" i="17"/>
  <c r="I13" i="16"/>
  <c r="J13" i="16" s="1"/>
  <c r="G3" i="17"/>
  <c r="H18" i="16"/>
  <c r="E13" i="17" l="1"/>
  <c r="F8" i="17"/>
  <c r="F7" i="17"/>
  <c r="I18" i="16"/>
  <c r="H3" i="17"/>
  <c r="F12" i="17"/>
  <c r="G9" i="17"/>
  <c r="G12" i="17" s="1"/>
  <c r="G5" i="17"/>
  <c r="G10" i="17"/>
  <c r="G11" i="17" s="1"/>
  <c r="J19" i="16"/>
  <c r="J4" i="17" s="1"/>
  <c r="K14" i="16"/>
  <c r="G7" i="17" l="1"/>
  <c r="G8" i="17" s="1"/>
  <c r="G13" i="17" s="1"/>
  <c r="K19" i="16"/>
  <c r="K4" i="17" s="1"/>
  <c r="L14" i="16"/>
  <c r="L19" i="16" s="1"/>
  <c r="L4" i="17" s="1"/>
  <c r="I3" i="17"/>
  <c r="J18" i="16"/>
  <c r="H9" i="17"/>
  <c r="H12" i="17" s="1"/>
  <c r="H5" i="17"/>
  <c r="H10" i="17"/>
  <c r="H11" i="17" s="1"/>
  <c r="K13" i="16"/>
  <c r="F13" i="17"/>
  <c r="F14" i="17" s="1"/>
  <c r="E14" i="17"/>
  <c r="G14" i="17" l="1"/>
  <c r="J3" i="17"/>
  <c r="K18" i="16"/>
  <c r="H7" i="17"/>
  <c r="H8" i="17" s="1"/>
  <c r="H13" i="17" s="1"/>
  <c r="H14" i="17" s="1"/>
  <c r="I5" i="17"/>
  <c r="I9" i="17"/>
  <c r="I12" i="17" s="1"/>
  <c r="I10" i="17"/>
  <c r="I11" i="17" s="1"/>
  <c r="L13" i="16"/>
  <c r="J5" i="17" l="1"/>
  <c r="J9" i="17"/>
  <c r="J12" i="17" s="1"/>
  <c r="J10" i="17"/>
  <c r="J11" i="17" s="1"/>
  <c r="I7" i="17"/>
  <c r="I8" i="17" s="1"/>
  <c r="I13" i="17" s="1"/>
  <c r="I14" i="17" s="1"/>
  <c r="K3" i="17"/>
  <c r="L18" i="16"/>
  <c r="L3" i="17" s="1"/>
  <c r="N3" i="17" l="1"/>
  <c r="N5" i="17" s="1"/>
  <c r="L5" i="17"/>
  <c r="L9" i="17"/>
  <c r="L10" i="17"/>
  <c r="L11" i="17" s="1"/>
  <c r="K5" i="17"/>
  <c r="K9" i="17"/>
  <c r="K10" i="17"/>
  <c r="K11" i="17" s="1"/>
  <c r="J8" i="17"/>
  <c r="J13" i="17" s="1"/>
  <c r="J14" i="17" s="1"/>
  <c r="J7" i="17"/>
  <c r="K12" i="17" l="1"/>
  <c r="K7" i="17"/>
  <c r="K8" i="17"/>
  <c r="K13" i="17" s="1"/>
  <c r="K14" i="17" s="1"/>
  <c r="L12" i="17"/>
  <c r="L7" i="17"/>
  <c r="L8" i="17"/>
  <c r="L13" i="17" s="1"/>
  <c r="N7" i="17"/>
  <c r="N8" i="17"/>
  <c r="N12" i="17" l="1"/>
  <c r="N13" i="17" s="1"/>
  <c r="L16" i="17"/>
  <c r="C21" i="17" s="1"/>
  <c r="L14" i="17"/>
  <c r="C20" i="17"/>
  <c r="C23" i="17" s="1"/>
  <c r="C27" i="17" s="1"/>
  <c r="C30" i="17" s="1"/>
  <c r="E33" i="19" l="1"/>
  <c r="H33" i="19" s="1"/>
  <c r="H24" i="17"/>
</calcChain>
</file>

<file path=xl/sharedStrings.xml><?xml version="1.0" encoding="utf-8"?>
<sst xmlns="http://schemas.openxmlformats.org/spreadsheetml/2006/main" count="1255" uniqueCount="881">
  <si>
    <t>About the Company Larsen &amp; Toubro Limited</t>
  </si>
  <si>
    <t>Who We Are — Larsen &amp; Toubro Limited (L&amp;T) is an Indian multinational conglomerate founded in 1938, with operations spanning Engineering, Procurement &amp; Construction (EPC), Hi-Tech Manufacturing, IT &amp; Technology Services, and Financial Services. Headquartered in Mumbai, L&amp;T is listed on BSE (500510) and NSE (LT) with a CIN: L99999MH1946PLC004768. The Company operates across 50+ countries and held its 81st Annual General Meeting on June 5, 2026 through Video Conferencing.
Business Model — L&amp;T's diversified portfolio is organised into six broad segments: Infrastructure Projects, Energy Projects (Hydrocarbon Onshore, Offshore &amp; Offshore Wind), Hi-Tech Manufacturing (Heavy Engineering, Precision Engineering, Rubber &amp; Construction Equipment, Valves, Special Steels), IT &amp; Technology Services (LTM/LTIMindtree, L&amp;T Technology Services), Financial Services (L&amp;T Finance – NBFC), and Development Projects (Hyderabad Metro, Nabha Power – both classified as Assets Held for Sale as of FY26). Digital &amp; emerging businesses include Larsen &amp; Toubro Vyoma (data centres), L&amp;T Semiconductor Technologies, L&amp;T EduTech, and L&amp;T-SuFin (B2B e-commerce).
FY26 Key Highlights (Consolidated) — Order Inflows: ₹4,35,590 Cr (+22.1% YoY, highest ever) | Order Book: ₹7,40,327 Cr (+27.8% YoY, all-time record) | Revenue from Operations: ₹2,85,874 Cr (+11.8% YoY) | PBDIT: ₹29,151 Cr (+10.3% YoY); EBITDA Margin: 10.2% | PAT (Consolidated): ₹16,084 Cr (+7.0% YoY) | Recurring PAT: ₹17,238 Cr (+18% YoY) | Basic EPS: ₹116.93 | Dividend: ₹38 per share | Net Debt:Equity: 0.35:1 | Gross Debt:Equity: 0.95:1 | RONW: 15.5% | Employees (Standalone): 59,403 | Group entities: 90 subsidiaries, 5 associates, 9 JVs, 35 jointly held operations.
Strategic Plan — Lakshya 2026 concluded in March 2026. The next five-year strategic plan, Lakshya 2031 (FY27–FY31), is being formulated with a focus on EPC &amp; Manufacturing profitability improvement, green energy transition (51% green portfolio share in FY26), technology &amp; AI leadership, and shareholder value creation through asset divestments (Nabha Power sold to Torrent Power for ₹6,889 Cr enterprise value; Hyderabad Metro stake sale agreement signed).
Vision &amp; Mission — L&amp;T aspires to be a builder of nations through engineering, technology and innovation, with trust, integrity and excellence at its core, partnering with customers and empowering employees to reach their fullest potential.</t>
  </si>
  <si>
    <t xml:space="preserve">  Key Subsidiaries / Group Entities</t>
  </si>
  <si>
    <t>S.No</t>
  </si>
  <si>
    <t>Company Name</t>
  </si>
  <si>
    <t>Type</t>
  </si>
  <si>
    <t>FY26 Revenue / Status</t>
  </si>
  <si>
    <t>LTM Limited (formerly LTIMindtree)</t>
  </si>
  <si>
    <t>Listed Subsidiary (NSE/BSE)</t>
  </si>
  <si>
    <t>Revenue ₹53,947 Cr; rebranded as AI-centric "Business Creativity Partner"</t>
  </si>
  <si>
    <t>L&amp;T Technology Services Limited (LTTS)</t>
  </si>
  <si>
    <t>Listed Subsidiary</t>
  </si>
  <si>
    <t>Revenue segment contribution in IT &amp; Tech; LTTS formed strategic alliance with SiMa.ai for Physical AI solutions</t>
  </si>
  <si>
    <t>L&amp;T Finance Limited (LTF)</t>
  </si>
  <si>
    <t>Listed Subsidiary (NBFC)</t>
  </si>
  <si>
    <t>Revenue ₹17,283 Cr; acquired gold loan business of Paul Merchants Finance Pvt Ltd during FY26</t>
  </si>
  <si>
    <t>Larsen &amp; Toubro Vyoma Limited</t>
  </si>
  <si>
    <t>Wholly Owned Subsidiary</t>
  </si>
  <si>
    <t>Data centre capacity 26 MW (Chennai &amp; Panvel); 36 MW AI-ready green data centre under development at Mahape, Navi Mumbai; sovereign cloud platform launched</t>
  </si>
  <si>
    <t>L&amp;T Semiconductor Technologies Ltd (LTSCT)</t>
  </si>
  <si>
    <t>Acquired power module design assets from Fujitsu General Electronics, Japan; partnership with Hon Young Semiconductor (Foxconn) for SiC semiconductors</t>
  </si>
  <si>
    <t>SuFin Limited</t>
  </si>
  <si>
    <t>B2B digital marketplace; L&amp;T-SuFin business transferred from parent w.e.f. April 1, 2026</t>
  </si>
  <si>
    <t>L&amp;T Realty Properties Limited</t>
  </si>
  <si>
    <t>Realty business being transferred via Scheme of Arrangement (slump sale); 71 mn sq.ft. development portfolio</t>
  </si>
  <si>
    <t>L&amp;T Energy GreenTech Limited</t>
  </si>
  <si>
    <t>JDA with ITOCHU Corporation (Japan) to develop 300 KTPA green ammonia facility at Kandla, Gujarat</t>
  </si>
  <si>
    <t>L&amp;T Metro Rail (Hyderabad) Limited</t>
  </si>
  <si>
    <t>Subsidiary (Asset Held for Sale)</t>
  </si>
  <si>
    <t>Share Purchase Agreement signed with Hyderabad Metro Rail Ltd (Govt. of Telangana) for full stake divestment; transaction expected by June 30, 2026</t>
  </si>
  <si>
    <t>Nabha Power Limited</t>
  </si>
  <si>
    <t>Securities purchase agreement signed to sell 100% equity to Torrent Power Limited for enterprise value of ₹6,889 Cr</t>
  </si>
  <si>
    <t>Total Group Entities (as on March 31, 2026)</t>
  </si>
  <si>
    <t>90 Subsidiaries, 5 Associates, 9 JVs, 35 Jointly Held Operations</t>
  </si>
  <si>
    <t xml:space="preserve">  Registered Office</t>
  </si>
  <si>
    <t>L&amp;T House, Ballard Estate, Narottam Morarjee Marg, Mumbai – 400 001, India</t>
  </si>
  <si>
    <t>CIN: L99999MH1946PLC004768</t>
  </si>
  <si>
    <t>Website: www.larsentoubro.com  |  Email: igrc@larsentoubro.com</t>
  </si>
  <si>
    <t xml:space="preserve">  Operational Footprint</t>
  </si>
  <si>
    <t>Entity</t>
  </si>
  <si>
    <t>Metric</t>
  </si>
  <si>
    <t>Value</t>
  </si>
  <si>
    <t>Details</t>
  </si>
  <si>
    <t>L&amp;T Group</t>
  </si>
  <si>
    <t>Order Book</t>
  </si>
  <si>
    <t>₹7,40,327 Cr</t>
  </si>
  <si>
    <t>All-time record as at March 31, 2026; +27.8% YoY; Infrastructure 57%, Energy 35%, Others 8%</t>
  </si>
  <si>
    <t>Order Inflows (FY26)</t>
  </si>
  <si>
    <t>₹4,35,590 Cr</t>
  </si>
  <si>
    <t>Highest ever; +22.1% YoY; International 58%, Domestic 42%</t>
  </si>
  <si>
    <t>Revenue from Operations</t>
  </si>
  <si>
    <t>₹2,85,874 Cr</t>
  </si>
  <si>
    <t>+11.8% YoY; International revenue 54% of total in FY26</t>
  </si>
  <si>
    <t>EBITDA Margin</t>
  </si>
  <si>
    <t>10.2%</t>
  </si>
  <si>
    <t>PBDIT: ₹29,151 Cr (+10.3% YoY)</t>
  </si>
  <si>
    <t>Consolidated PAT</t>
  </si>
  <si>
    <t>₹16,084 Cr</t>
  </si>
  <si>
    <t>+7.0% YoY; Recurring PAT ₹17,238 Cr (+18% YoY)</t>
  </si>
  <si>
    <t>Net Debt : Equity</t>
  </si>
  <si>
    <t>0.35 : 1</t>
  </si>
  <si>
    <t>Improved from 0.60:1 in FY25; Gross Debt:Equity at 0.95:1</t>
  </si>
  <si>
    <t>Employees (Standalone)</t>
  </si>
  <si>
    <t>59,403</t>
  </si>
  <si>
    <t>As of March 31, 2026</t>
  </si>
  <si>
    <t>Countries of Operation</t>
  </si>
  <si>
    <t>50+</t>
  </si>
  <si>
    <t>Global footprint across Americas, Europe, Middle East, Africa, Asia-Pacific</t>
  </si>
  <si>
    <t>Green Portfolio Share</t>
  </si>
  <si>
    <t>51%</t>
  </si>
  <si>
    <t>Green business ₹787 bn as % of standalone revenues in FY26</t>
  </si>
  <si>
    <t>Dividend (FY26)</t>
  </si>
  <si>
    <t>₹38 per share</t>
  </si>
  <si>
    <t>Face value ₹2 per share; paid on or before June 10, 2026</t>
  </si>
  <si>
    <t>Stock Exchanges</t>
  </si>
  <si>
    <t>BSE &amp; NSE</t>
  </si>
  <si>
    <t>BSE Code: 500510 | NSE Symbol: LT</t>
  </si>
  <si>
    <t>Statutory Auditors</t>
  </si>
  <si>
    <t>M/s. M S K A &amp; Associates LLP</t>
  </si>
  <si>
    <t>Registrar &amp; Transfer Agent: KFin Technologies Limited</t>
  </si>
  <si>
    <t xml:space="preserve">  Board of Directors</t>
  </si>
  <si>
    <t>Name</t>
  </si>
  <si>
    <t>Designation</t>
  </si>
  <si>
    <t>Mr. S. N. Subrahmanyan</t>
  </si>
  <si>
    <t>Chairman &amp; Managing Director</t>
  </si>
  <si>
    <t>Mr. Subramanian Sarma</t>
  </si>
  <si>
    <t>Deputy Managing Director &amp; President</t>
  </si>
  <si>
    <t>Mr. R. Shankar Raman</t>
  </si>
  <si>
    <t>President, Whole-time Director &amp; CFO</t>
  </si>
  <si>
    <t>Mr. S. V. Desai</t>
  </si>
  <si>
    <t>Whole-time Director &amp; Sr. EVP – Civil Infrastructure</t>
  </si>
  <si>
    <t>Mr. T. Madhava Das</t>
  </si>
  <si>
    <t>Whole-time Director &amp; Sr. EVP – Utilities</t>
  </si>
  <si>
    <t>Mr. Anil V. Parab</t>
  </si>
  <si>
    <t>Whole-time Director &amp; Sr. EVP – Heavy Engineering &amp; Manufacturing</t>
  </si>
  <si>
    <t>Mr. Sanjeev Aga</t>
  </si>
  <si>
    <t>Independent Director</t>
  </si>
  <si>
    <t>Mr. Narayanan Kumar</t>
  </si>
  <si>
    <t>Mrs. Preetha Reddy</t>
  </si>
  <si>
    <t>Mr. Pramit Jhaveri</t>
  </si>
  <si>
    <t>Mr. Rajnish Kumar</t>
  </si>
  <si>
    <t>Mr. Jyoti Sagar</t>
  </si>
  <si>
    <t>Mr. Ajay Tyagi</t>
  </si>
  <si>
    <t>Mr. P. R. Ramesh</t>
  </si>
  <si>
    <t>Mr. Siddhartha Mohanty</t>
  </si>
  <si>
    <t>Nominee Director (Life Insurance Corporation of India)</t>
  </si>
  <si>
    <t>Mr. Amitabh Kant</t>
  </si>
  <si>
    <t>Mr. B. Santhanam</t>
  </si>
  <si>
    <t>Mr. Subramanian Narayan</t>
  </si>
  <si>
    <t>Company Secretary &amp; Compliance Officer (ACS 16354)</t>
  </si>
  <si>
    <t>LARSEN &amp; TOUBRO LIMITED (L&amp;T)</t>
  </si>
  <si>
    <t>Shareholding Pattern – Promoter &amp; Promoter Group  |  As at March 31, 2026</t>
  </si>
  <si>
    <t>KEY NOTE — PROFESSIONALLY MANAGED COMPANY | PROMOTER SHAREHOLDING: NIL
Larsen &amp; Toubro Limited has NO identifiable Promoter or Promoter Group. The Company's Promoter shareholding stands at NIL as at March 31, 2026 (Previous Year: NIL). L&amp;T is a professionally managed public limited company incorporated in 1938, with a broad-based institutional and public ownership structure. This is formally confirmed in the Company's Standalone and Consolidated Financial Statements (Note to Share Capital) for FY 2025-26.</t>
  </si>
  <si>
    <t xml:space="preserve">  (A)  PROMOTER &amp; PROMOTER GROUP SHAREHOLDING</t>
  </si>
  <si>
    <t>Sr. No.</t>
  </si>
  <si>
    <t>Name of Shareholder / Category</t>
  </si>
  <si>
    <t>Category</t>
  </si>
  <si>
    <t>No. of Shareholders</t>
  </si>
  <si>
    <t>No. of Shares Held</t>
  </si>
  <si>
    <t>% of Total Share Capital</t>
  </si>
  <si>
    <t xml:space="preserve">     (A1)  Indian Promoters</t>
  </si>
  <si>
    <t>-</t>
  </si>
  <si>
    <t>Nil — No Indian Promoter identified</t>
  </si>
  <si>
    <t>Sub-Total (A1) – Indian Promoters</t>
  </si>
  <si>
    <t xml:space="preserve">     (A2)  Foreign Promoters</t>
  </si>
  <si>
    <t>Nil — No Foreign Promoter identified</t>
  </si>
  <si>
    <t>TOTAL PROMOTER &amp; PROMOTER GROUP SHAREHOLDING (A)</t>
  </si>
  <si>
    <t>NIL</t>
  </si>
  <si>
    <t xml:space="preserve">  CONTEXT: Significant Shareholders (Holding &gt;= 1% as at March 31, 2026)</t>
  </si>
  <si>
    <t>Name of Shareholder</t>
  </si>
  <si>
    <t>% of Total Capital</t>
  </si>
  <si>
    <t>Change vs FY25</t>
  </si>
  <si>
    <t>L&amp;T Employees Trust</t>
  </si>
  <si>
    <t>Non-Institution / Trust</t>
  </si>
  <si>
    <t>19,86,79,507</t>
  </si>
  <si>
    <t>14.44%</t>
  </si>
  <si>
    <t>+0.27 pp</t>
  </si>
  <si>
    <t>Life Insurance Corporation of India (LIC)</t>
  </si>
  <si>
    <t>Financial Institution (Domestic)</t>
  </si>
  <si>
    <t>17,03,27,420</t>
  </si>
  <si>
    <t>12.38%</t>
  </si>
  <si>
    <t>-0.72 pp</t>
  </si>
  <si>
    <t>SBI Mutual Fund</t>
  </si>
  <si>
    <t>Mutual Fund (Domestic)</t>
  </si>
  <si>
    <t>6,17,78,496</t>
  </si>
  <si>
    <t>4.49%</t>
  </si>
  <si>
    <t>N/A</t>
  </si>
  <si>
    <t>ICICI Prudential Mutual Fund</t>
  </si>
  <si>
    <t>5,32,51,701</t>
  </si>
  <si>
    <t>3.87%</t>
  </si>
  <si>
    <t>NPS Trust A/C – SBI Pension Fund (UPS-CG)</t>
  </si>
  <si>
    <t>Provident / Pension Fund</t>
  </si>
  <si>
    <t>4,48,28,833</t>
  </si>
  <si>
    <t>3.26%</t>
  </si>
  <si>
    <t>HDFC Mutual Fund</t>
  </si>
  <si>
    <t>2,79,55,760</t>
  </si>
  <si>
    <t>2.03%</t>
  </si>
  <si>
    <t>Government of Singapore</t>
  </si>
  <si>
    <t>FPI – Category I (Foreign)</t>
  </si>
  <si>
    <t>2,15,92,388</t>
  </si>
  <si>
    <t>1.57%</t>
  </si>
  <si>
    <t>Nippon Life India Trustee Ltd</t>
  </si>
  <si>
    <t>2,27,69,781</t>
  </si>
  <si>
    <t>1.66%</t>
  </si>
  <si>
    <t>UTI Mutual Fund</t>
  </si>
  <si>
    <t>2,11,47,408</t>
  </si>
  <si>
    <t>1.54%</t>
  </si>
  <si>
    <t xml:space="preserve">  CATEGORY-WISE SHAREHOLDING SUMMARY  (FY26 vs FY25)</t>
  </si>
  <si>
    <t>No. of Shares (FY26)</t>
  </si>
  <si>
    <t>% (FY26)</t>
  </si>
  <si>
    <t>No. of Shares (FY25)</t>
  </si>
  <si>
    <t>% (FY25)</t>
  </si>
  <si>
    <t>Change (pp)</t>
  </si>
  <si>
    <t>Promoter &amp; Promoter Group</t>
  </si>
  <si>
    <t>Financial Institutions (Domestic)</t>
  </si>
  <si>
    <t>19,88,97,611</t>
  </si>
  <si>
    <t>14.46%</t>
  </si>
  <si>
    <t>21,24,90,650</t>
  </si>
  <si>
    <t>15.45%</t>
  </si>
  <si>
    <t>-0.99</t>
  </si>
  <si>
    <t>Foreign Portfolio Investors (FPI)</t>
  </si>
  <si>
    <t>25,56,55,493</t>
  </si>
  <si>
    <t>18.58%</t>
  </si>
  <si>
    <t>26,91,74,120</t>
  </si>
  <si>
    <t>19.57%</t>
  </si>
  <si>
    <t>Shares underlying GDRs</t>
  </si>
  <si>
    <t>1,44,89,280</t>
  </si>
  <si>
    <t>1.05%</t>
  </si>
  <si>
    <t>1,56,44,404</t>
  </si>
  <si>
    <t>1.14%</t>
  </si>
  <si>
    <t>-0.09</t>
  </si>
  <si>
    <t>Mutual Funds (Domestic)</t>
  </si>
  <si>
    <t>27,90,56,228</t>
  </si>
  <si>
    <t>20.29%</t>
  </si>
  <si>
    <t>27,11,21,158</t>
  </si>
  <si>
    <t>19.72%</t>
  </si>
  <si>
    <t>+0.57</t>
  </si>
  <si>
    <t>Bodies Corporate &amp; QIBs</t>
  </si>
  <si>
    <t>7,06,67,920</t>
  </si>
  <si>
    <t>5.14%</t>
  </si>
  <si>
    <t>9,85,23,938</t>
  </si>
  <si>
    <t>7.16%</t>
  </si>
  <si>
    <t>-2.02</t>
  </si>
  <si>
    <t>Directors &amp; Relatives</t>
  </si>
  <si>
    <t>11,34,111</t>
  </si>
  <si>
    <t>0.08%</t>
  </si>
  <si>
    <t>10,89,114</t>
  </si>
  <si>
    <t>Flat</t>
  </si>
  <si>
    <t>19,48,87,516</t>
  </si>
  <si>
    <t>14.17%</t>
  </si>
  <si>
    <t>+0.27</t>
  </si>
  <si>
    <t>Others (Retail, NRI, HUF, etc.)</t>
  </si>
  <si>
    <t>35,70,52,040</t>
  </si>
  <si>
    <t>25.96%</t>
  </si>
  <si>
    <t>31,22,61,265</t>
  </si>
  <si>
    <t>22.71%</t>
  </si>
  <si>
    <t>+3.25</t>
  </si>
  <si>
    <t>TOTAL (A+B)</t>
  </si>
  <si>
    <t>1,37,56,32,190</t>
  </si>
  <si>
    <t>100.00%</t>
  </si>
  <si>
    <t>1,37,51,92,165</t>
  </si>
  <si>
    <t xml:space="preserve">  Notes</t>
  </si>
  <si>
    <t>1.  The Company's Promoter shareholding is NIL as at March 31, 2026 (Previous Year: NIL). L&amp;T is a professionally managed company with no identifiable promoter group. Source: Note to Share Capital, L&amp;T Integrated Annual Report FY 2025-26.</t>
  </si>
  <si>
    <t>2.  Significant shareholders (holding &gt;5%) as disclosed in Note to Share Capital: (i) L&amp;T Employees Trust – 19,86,79,507 shares (14.44%) and (ii) Life Insurance Corporation of India – 17,03,27,420 shares (12.38%).</t>
  </si>
  <si>
    <t>3.  Total paid-up equity share capital as at March 31, 2026: 1,37,56,32,190 shares of face value ₹2 each. During FY26, 4,40,025 shares were allotted upon exercise of employee stock options.</t>
  </si>
  <si>
    <t>4.  Demat status as at March 31, 2026: NSDL – 1,28,03,97,625 shares (93.07%); CDSL – 8,66,29,700 shares (6.30%); Physical – 86,04,865 shares (0.63%).</t>
  </si>
  <si>
    <t>5.  GDR shares (1,44,89,280 shares) are backed by underlying equity shares forming part of the existing paid-up capital.</t>
  </si>
  <si>
    <t>6.  Source: L&amp;T Integrated Annual Report 2025-26 — Corporate Governance Report (Categories of Shareholders section) and Standalone Financial Statements (Note to Share Capital).</t>
  </si>
  <si>
    <t>Shareholding Pattern – Public Shareholders  |  As at March 31, 2026</t>
  </si>
  <si>
    <t>No. of
Shareholders</t>
  </si>
  <si>
    <t>% of Total
Share Capital</t>
  </si>
  <si>
    <t xml:space="preserve">   DOMESTIC INSTITUTIONS</t>
  </si>
  <si>
    <t>Mutual Funds</t>
  </si>
  <si>
    <t>Mutual Fund</t>
  </si>
  <si>
    <t>60</t>
  </si>
  <si>
    <t>279,056,228</t>
  </si>
  <si>
    <t>20.50%</t>
  </si>
  <si>
    <t>1</t>
  </si>
  <si>
    <t>61,778,496</t>
  </si>
  <si>
    <t>4.54%</t>
  </si>
  <si>
    <t>21,147,408</t>
  </si>
  <si>
    <t>1.55%</t>
  </si>
  <si>
    <t>22,769,781</t>
  </si>
  <si>
    <t>1.67%</t>
  </si>
  <si>
    <t>27,955,760</t>
  </si>
  <si>
    <t>2.05%</t>
  </si>
  <si>
    <t>53,251,701</t>
  </si>
  <si>
    <t>3.91%</t>
  </si>
  <si>
    <t>Alternate Investment Funds</t>
  </si>
  <si>
    <t>AIF</t>
  </si>
  <si>
    <t>93</t>
  </si>
  <si>
    <t>9,646,399</t>
  </si>
  <si>
    <t>0.71%</t>
  </si>
  <si>
    <t>Banks</t>
  </si>
  <si>
    <t>20</t>
  </si>
  <si>
    <t>981,714</t>
  </si>
  <si>
    <t>0.07%</t>
  </si>
  <si>
    <t>Insurance Companies</t>
  </si>
  <si>
    <t>Insurance</t>
  </si>
  <si>
    <t>41</t>
  </si>
  <si>
    <t>255,262,445</t>
  </si>
  <si>
    <t>18.75%</t>
  </si>
  <si>
    <t>SBI Life Insurance Co. Ltd</t>
  </si>
  <si>
    <t>15,246,344</t>
  </si>
  <si>
    <t>1.12%</t>
  </si>
  <si>
    <t>Life Insurance Corporation of India</t>
  </si>
  <si>
    <t>170,327,420</t>
  </si>
  <si>
    <t>12.51%</t>
  </si>
  <si>
    <t>ICICI Prudential Life Insurance Co. Ltd</t>
  </si>
  <si>
    <t>14,561,355</t>
  </si>
  <si>
    <t>1.07%</t>
  </si>
  <si>
    <t>General Insurance Corporation of India</t>
  </si>
  <si>
    <t>20,310,650</t>
  </si>
  <si>
    <t>1.49%</t>
  </si>
  <si>
    <t>Provident Funds / Pension Funds</t>
  </si>
  <si>
    <t>PF / Pension</t>
  </si>
  <si>
    <t>44,828,833</t>
  </si>
  <si>
    <t>3.29%</t>
  </si>
  <si>
    <t>NPS Trust A/C – SBI Pension Fund (UPS – CG Scheme)</t>
  </si>
  <si>
    <t>NBFCs Registered with RBI</t>
  </si>
  <si>
    <t>NBFC</t>
  </si>
  <si>
    <t>25</t>
  </si>
  <si>
    <t>66,188</t>
  </si>
  <si>
    <t>Sub-Total (B1) – Domestic Institutions</t>
  </si>
  <si>
    <t>240</t>
  </si>
  <si>
    <t>589,841,807</t>
  </si>
  <si>
    <t>43.33%</t>
  </si>
  <si>
    <t xml:space="preserve">   FOREIGN INSTITUTIONS</t>
  </si>
  <si>
    <t>Foreign Portfolio Investors – Category I</t>
  </si>
  <si>
    <t>FPI – Cat I</t>
  </si>
  <si>
    <t>807</t>
  </si>
  <si>
    <t>243,914,010</t>
  </si>
  <si>
    <t>17.92%</t>
  </si>
  <si>
    <t>21,592,388</t>
  </si>
  <si>
    <t>1.59%</t>
  </si>
  <si>
    <t>Foreign Portfolio Investors – Category II</t>
  </si>
  <si>
    <t>FPI – Cat II</t>
  </si>
  <si>
    <t>83</t>
  </si>
  <si>
    <t>11,318,792</t>
  </si>
  <si>
    <t>0.83%</t>
  </si>
  <si>
    <t>Any Other – Foreign Institutional Investors</t>
  </si>
  <si>
    <t>FII</t>
  </si>
  <si>
    <t>50</t>
  </si>
  <si>
    <t>422,691</t>
  </si>
  <si>
    <t>0.03%</t>
  </si>
  <si>
    <t>Sub-Total (B2) – Foreign Institutions</t>
  </si>
  <si>
    <t>940</t>
  </si>
  <si>
    <t>255,655,493</t>
  </si>
  <si>
    <t>18.78%</t>
  </si>
  <si>
    <t xml:space="preserve">   GOVERNMENT HOLDING</t>
  </si>
  <si>
    <t>Central Government / President of India</t>
  </si>
  <si>
    <t>Central Govt</t>
  </si>
  <si>
    <t>2</t>
  </si>
  <si>
    <t>3,347,457</t>
  </si>
  <si>
    <t>0.25%</t>
  </si>
  <si>
    <t>Sub-Total (B3) – Government Holding</t>
  </si>
  <si>
    <t xml:space="preserve">   NON-INSTITUTIONS</t>
  </si>
  <si>
    <t>Directors and their Relatives (excl. Independent &amp; Nominee Directors)</t>
  </si>
  <si>
    <t>Directors / Relatives</t>
  </si>
  <si>
    <t>12</t>
  </si>
  <si>
    <t>1,106,642</t>
  </si>
  <si>
    <t>Investor Education and Protection Fund (IEPF)</t>
  </si>
  <si>
    <t>IEPF</t>
  </si>
  <si>
    <t>5,417,024</t>
  </si>
  <si>
    <t>0.40%</t>
  </si>
  <si>
    <t>Resident Individuals – Nominal Share Capital up to ₹2 Lakhs</t>
  </si>
  <si>
    <t>Retail Individual</t>
  </si>
  <si>
    <t>1,705,682</t>
  </si>
  <si>
    <t>257,491,210</t>
  </si>
  <si>
    <t>18.92%</t>
  </si>
  <si>
    <t>Resident Individuals – Nominal Share Capital in excess of ₹2 Lakhs</t>
  </si>
  <si>
    <t>HNI / Individual</t>
  </si>
  <si>
    <t>37</t>
  </si>
  <si>
    <t>9,751,493</t>
  </si>
  <si>
    <t>0.72%</t>
  </si>
  <si>
    <t>Non-Resident Indians (NRIs)</t>
  </si>
  <si>
    <t>NRI</t>
  </si>
  <si>
    <t>57,165</t>
  </si>
  <si>
    <t>17,268,786</t>
  </si>
  <si>
    <t>1.27%</t>
  </si>
  <si>
    <t>Foreign Nationals</t>
  </si>
  <si>
    <t>Foreign National</t>
  </si>
  <si>
    <t>11</t>
  </si>
  <si>
    <t>568,878</t>
  </si>
  <si>
    <t>0.04%</t>
  </si>
  <si>
    <t>Foreign Companies</t>
  </si>
  <si>
    <t>Foreign Company</t>
  </si>
  <si>
    <t>4</t>
  </si>
  <si>
    <t>38,771</t>
  </si>
  <si>
    <t>Bodies Corporate</t>
  </si>
  <si>
    <t>Corporate Body</t>
  </si>
  <si>
    <t>7,874</t>
  </si>
  <si>
    <t>14,303,086</t>
  </si>
  <si>
    <t>Any Other (specify) – Total</t>
  </si>
  <si>
    <t>Others</t>
  </si>
  <si>
    <t>29,285</t>
  </si>
  <si>
    <t>206,352,263</t>
  </si>
  <si>
    <t>15.16%</t>
  </si>
  <si>
    <t xml:space="preserve">   Nationalised Banks</t>
  </si>
  <si>
    <t>Banks (Nationalised)</t>
  </si>
  <si>
    <t>38</t>
  </si>
  <si>
    <t>1,521,868</t>
  </si>
  <si>
    <t>0.11%</t>
  </si>
  <si>
    <t xml:space="preserve">   Hindu Undivided Families (HUF)</t>
  </si>
  <si>
    <t>HUF</t>
  </si>
  <si>
    <t>29,091</t>
  </si>
  <si>
    <t>5,461,783</t>
  </si>
  <si>
    <t xml:space="preserve">   Clearing Members</t>
  </si>
  <si>
    <t>Clearing Member</t>
  </si>
  <si>
    <t>14</t>
  </si>
  <si>
    <t>20,805</t>
  </si>
  <si>
    <t xml:space="preserve">   Trusts (Total)</t>
  </si>
  <si>
    <t>Trust</t>
  </si>
  <si>
    <t>142</t>
  </si>
  <si>
    <t>199,347,807</t>
  </si>
  <si>
    <t>14.65%</t>
  </si>
  <si>
    <t xml:space="preserve">   L&amp;T Employees Trust</t>
  </si>
  <si>
    <t>198,679,507</t>
  </si>
  <si>
    <t>14.60%</t>
  </si>
  <si>
    <t>ESOP / ESOS / ESPS</t>
  </si>
  <si>
    <t>Employee Stock Options</t>
  </si>
  <si>
    <t>0</t>
  </si>
  <si>
    <t>Sub-Total (B4) – Non-Institutions</t>
  </si>
  <si>
    <t>1,800,071</t>
  </si>
  <si>
    <t>512,298,153</t>
  </si>
  <si>
    <t>37.64%</t>
  </si>
  <si>
    <t>TOTAL PUBLIC SHAREHOLDING  (B = B1 + B2 + B3 + B4)</t>
  </si>
  <si>
    <t>1,801,253</t>
  </si>
  <si>
    <t>1,361,142,910</t>
  </si>
  <si>
    <t>LARSEN &amp; TOUBRO LIMITED — Consolidated Profit &amp; Loss Account</t>
  </si>
  <si>
    <t>(₹ in Crores)</t>
  </si>
  <si>
    <t>Particulars</t>
  </si>
  <si>
    <t>Mar 22
12 mths</t>
  </si>
  <si>
    <t>Mar 23
12 mths</t>
  </si>
  <si>
    <t>Mar 24
12 mths</t>
  </si>
  <si>
    <t>Mar 25
12 mths</t>
  </si>
  <si>
    <t>Mar 26
12 mths</t>
  </si>
  <si>
    <t>INCOME</t>
  </si>
  <si>
    <t>Revenue From Operations [Gross]</t>
  </si>
  <si>
    <t>Revenue From Operations [Net]</t>
  </si>
  <si>
    <t>Other Operating Revenues</t>
  </si>
  <si>
    <t>Total Operating Revenues</t>
  </si>
  <si>
    <t>Other Income</t>
  </si>
  <si>
    <t>Total Revenue</t>
  </si>
  <si>
    <t>EXPENSES</t>
  </si>
  <si>
    <t>Cost Of Materials Consumed</t>
  </si>
  <si>
    <t>Purchase Of Stock-In Trade</t>
  </si>
  <si>
    <t>Operating And Direct Expenses</t>
  </si>
  <si>
    <t>Changes In Inventories Of FG, WIP And Stock-In Trade</t>
  </si>
  <si>
    <t>Employee Benefit Expenses</t>
  </si>
  <si>
    <t>Finance Costs</t>
  </si>
  <si>
    <t>Depreciation And Amortisation Expenses</t>
  </si>
  <si>
    <t>Other Expenses</t>
  </si>
  <si>
    <t>Total Expenses</t>
  </si>
  <si>
    <t>PROFIT / LOSS</t>
  </si>
  <si>
    <t>Profit/Loss Before Exceptional, ExtraOrdinary Items And Tax</t>
  </si>
  <si>
    <t>Exceptional Items</t>
  </si>
  <si>
    <t>Profit/Loss Before Tax</t>
  </si>
  <si>
    <t>TAX EXPENSES — CONTINUED OPERATIONS</t>
  </si>
  <si>
    <t>Current Tax</t>
  </si>
  <si>
    <t>Deferred Tax</t>
  </si>
  <si>
    <t>Total Tax Expenses</t>
  </si>
  <si>
    <t>Profit/Loss After Tax And Before ExtraOrdinary Items</t>
  </si>
  <si>
    <t>Profit/Loss From Continuing Operations</t>
  </si>
  <si>
    <t>Profit/Loss For The Period</t>
  </si>
  <si>
    <t>Minority Interest</t>
  </si>
  <si>
    <t>Share Of Profit/Loss Of Associates</t>
  </si>
  <si>
    <t>Consolidated Profit/Loss After MI And Associates</t>
  </si>
  <si>
    <t>EARNINGS PER SHARE</t>
  </si>
  <si>
    <t>Basic EPS (₹)</t>
  </si>
  <si>
    <t>Diluted EPS (₹)</t>
  </si>
  <si>
    <t>DIVIDEND</t>
  </si>
  <si>
    <t>Equity Share Dividend (₹ Cr.)</t>
  </si>
  <si>
    <t>LARSEN &amp; TOUBRO LIMITED — Consolidated Balance Sheet</t>
  </si>
  <si>
    <t>EQUITIES AND LIABILITIES</t>
  </si>
  <si>
    <t>SHARE OUTSTANDING</t>
  </si>
  <si>
    <t>SHAREHOLDER'S FUNDS</t>
  </si>
  <si>
    <t>EQUITY SHARE CAPITAL/FACE VALUE</t>
  </si>
  <si>
    <t>Equity Share Capital</t>
  </si>
  <si>
    <t>Preference Share Capital</t>
  </si>
  <si>
    <t>MKT CAPITALIZATION/CURRENT MKT PRICE</t>
  </si>
  <si>
    <t>Total Share Capital</t>
  </si>
  <si>
    <t>Reserves and Surplus</t>
  </si>
  <si>
    <t>DPS</t>
  </si>
  <si>
    <t>Total Reserves and Surplus</t>
  </si>
  <si>
    <t>Employees Stock Options</t>
  </si>
  <si>
    <t>Total Shareholders Funds</t>
  </si>
  <si>
    <t>NON-CURRENT LIABILITIES</t>
  </si>
  <si>
    <t>Long Term Borrowings</t>
  </si>
  <si>
    <t>Deferred Tax Liabilities [Net]</t>
  </si>
  <si>
    <t>Other Long Term Liabilities</t>
  </si>
  <si>
    <t>Long Term Provisions</t>
  </si>
  <si>
    <t>Total Non-Current Liabilities</t>
  </si>
  <si>
    <t>CURRENT LIABILITIES</t>
  </si>
  <si>
    <t>Short Term Borrowings</t>
  </si>
  <si>
    <t>Trade Payables</t>
  </si>
  <si>
    <t>Other Current Liabilities</t>
  </si>
  <si>
    <t>Short Term Provisions</t>
  </si>
  <si>
    <t>Total Current Liabilities</t>
  </si>
  <si>
    <t>Total Capital And Liabilities</t>
  </si>
  <si>
    <t>ASSETS</t>
  </si>
  <si>
    <t>NON-CURRENT ASSETS</t>
  </si>
  <si>
    <t>Tangible Assets</t>
  </si>
  <si>
    <t>Intangible Assets</t>
  </si>
  <si>
    <t>Capital Work-In-Progress</t>
  </si>
  <si>
    <t>Intangible Assets Under Development</t>
  </si>
  <si>
    <t>Fixed Assets</t>
  </si>
  <si>
    <t>Non-Current Investments</t>
  </si>
  <si>
    <t>Deferred Tax Assets [Net]</t>
  </si>
  <si>
    <t>Long Term Loans And Advances</t>
  </si>
  <si>
    <t>Other Non-Current Assets</t>
  </si>
  <si>
    <t>Total Non-Current Assets</t>
  </si>
  <si>
    <t>CURRENT ASSETS</t>
  </si>
  <si>
    <t>Current Investments</t>
  </si>
  <si>
    <t>Inventories</t>
  </si>
  <si>
    <t>Trade Receivables</t>
  </si>
  <si>
    <t>Cash And Cash Equivalents</t>
  </si>
  <si>
    <t>Short Term Loans And Advances</t>
  </si>
  <si>
    <t>Other Current Assets</t>
  </si>
  <si>
    <t>Total Current Assets</t>
  </si>
  <si>
    <t>Total Assets</t>
  </si>
  <si>
    <t>OTHER ADDITIONAL INFORMATION</t>
  </si>
  <si>
    <t>CONTINGENT LIABILITIES &amp; COMMITMENTS</t>
  </si>
  <si>
    <t>Contingent Liabilities</t>
  </si>
  <si>
    <t>BONUS DETAILS</t>
  </si>
  <si>
    <t>Bonus Equity Share Capital</t>
  </si>
  <si>
    <t>NON-CURRENT INVESTMENTS</t>
  </si>
  <si>
    <t>Non-Current Investments Unquoted Book Value</t>
  </si>
  <si>
    <t>CURRENT INVESTMENTS</t>
  </si>
  <si>
    <t>Current Investments Unquoted Book Value</t>
  </si>
  <si>
    <t>LARSEN &amp; TOUBRO LIMITED — Consolidated Cash Flow Statement</t>
  </si>
  <si>
    <t>CASH FLOW STATEMENT</t>
  </si>
  <si>
    <t>Net Profit Before Tax</t>
  </si>
  <si>
    <t>Net Cash From Operating Activities</t>
  </si>
  <si>
    <t>Net Cash (used in)/from Investing Activities</t>
  </si>
  <si>
    <t>Net Cash (used in)/from Financing Activities</t>
  </si>
  <si>
    <t>Net (decrease)/increase In Cash and Cash Equivalents</t>
  </si>
  <si>
    <t>Opening Cash &amp; Cash Equivalents</t>
  </si>
  <si>
    <t>Closing Cash &amp; Cash Equivalents</t>
  </si>
  <si>
    <t xml:space="preserve"> Consolidated Quarterly Results  (Rs. Crores)</t>
  </si>
  <si>
    <t>Date Begin</t>
  </si>
  <si>
    <t>Quarter ended</t>
  </si>
  <si>
    <t>Years</t>
  </si>
  <si>
    <t>% CHANGE</t>
  </si>
  <si>
    <t>Date End</t>
  </si>
  <si>
    <t>QTQ</t>
  </si>
  <si>
    <t>YOY</t>
  </si>
  <si>
    <t>Description</t>
  </si>
  <si>
    <t>Amount (Rs. million)</t>
  </si>
  <si>
    <t>Net Sales</t>
  </si>
  <si>
    <t>Total Income</t>
  </si>
  <si>
    <t>Expenditure</t>
  </si>
  <si>
    <t>Cost of Materials Consumed</t>
  </si>
  <si>
    <t>Profit (+)/ Loss (-) from Ordinary Activities before Tax</t>
  </si>
  <si>
    <t>Tax</t>
  </si>
  <si>
    <t>Net Profit (+)/ Loss (-) from Ordinary Activities after Tax</t>
  </si>
  <si>
    <t>Purchases of stock-in-trade</t>
  </si>
  <si>
    <t>Net Profit</t>
  </si>
  <si>
    <t>Employee benefit expense</t>
  </si>
  <si>
    <t>Changes in inventories of finished goods, work-in-progress and stock-in-trade</t>
  </si>
  <si>
    <t>Depreciation and amortisation expense</t>
  </si>
  <si>
    <t>Share of Profit &amp; Loss of Asso</t>
  </si>
  <si>
    <t>Net Profit after Mino Inter &amp; Share of P &amp; L</t>
  </si>
  <si>
    <t>Any Other</t>
  </si>
  <si>
    <t>Income Attributable to Consolidated Group</t>
  </si>
  <si>
    <t>EPS after Extraordinary items (in Rs)</t>
  </si>
  <si>
    <t>Exceptional Item</t>
  </si>
  <si>
    <t>Extraordinary Items</t>
  </si>
  <si>
    <t>Current tax</t>
  </si>
  <si>
    <t>Profit after Interest but before Exceptional Items</t>
  </si>
  <si>
    <t>Deferred tax</t>
  </si>
  <si>
    <t>Net Profit Loss for the period from continuing operations</t>
  </si>
  <si>
    <t>Profit (loss) from discontinuing operations before tax</t>
  </si>
  <si>
    <t>Tax expense of discontinuing operations</t>
  </si>
  <si>
    <t>Net profit (loss) from discontinuing operation after tax</t>
  </si>
  <si>
    <t>Other Comprehensive Income Net of Taxes</t>
  </si>
  <si>
    <t>Any Other Comprehensive Item</t>
  </si>
  <si>
    <t>Total Comprehensive Income for the Period</t>
  </si>
  <si>
    <t>Total Amount of items that will not be reclassified to profit and loss</t>
  </si>
  <si>
    <t>Income tax relating to items that will not be reclassified to profit or loss</t>
  </si>
  <si>
    <t>Total Amount of items that will be reclassified to profit and loss</t>
  </si>
  <si>
    <t>Income tax relating to items that will be reclassified to profit or loss</t>
  </si>
  <si>
    <t>Net movement in regulatory deferral account balances</t>
  </si>
  <si>
    <t>Share of profit(loss) of associates and joint ventures</t>
  </si>
  <si>
    <t>Profit before extraordinary items and Tax</t>
  </si>
  <si>
    <t>Basic for discontinued &amp; continuing operation</t>
  </si>
  <si>
    <t>Diluted for discontinued &amp; continuing operation</t>
  </si>
  <si>
    <t>Basic EPS for continuing operation</t>
  </si>
  <si>
    <t>Diluted EPS for continuing operation</t>
  </si>
  <si>
    <t>Date</t>
  </si>
  <si>
    <t>LT_Close</t>
  </si>
  <si>
    <t>Nifty50_Close</t>
  </si>
  <si>
    <t>Market return nifty 50</t>
  </si>
  <si>
    <t>Rm LT_Close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</si>
  <si>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</si>
  <si>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</si>
  <si>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</si>
  <si>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</si>
  <si>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</si>
  <si>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</si>
  <si>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</si>
  <si>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</si>
  <si>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</si>
  <si>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</si>
  <si>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</si>
  <si>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</si>
  <si>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</si>
  <si>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</si>
  <si>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</si>
  <si>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</si>
  <si>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</si>
  <si>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</si>
  <si>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</si>
  <si>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</si>
  <si>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</si>
  <si>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</si>
  <si>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</si>
  <si>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</si>
  <si>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</si>
  <si>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Capital Structure</t>
  </si>
  <si>
    <t>Total Debt</t>
  </si>
  <si>
    <t>Total Equity</t>
  </si>
  <si>
    <t>CMP (₹) — Current Market Price (Input)</t>
  </si>
  <si>
    <t>Total Mix (Debt + Equity)</t>
  </si>
  <si>
    <t>% of Debt</t>
  </si>
  <si>
    <t>% of Equity</t>
  </si>
  <si>
    <t>Debt to Equity</t>
  </si>
  <si>
    <t>Cost of Equity (CAPM)</t>
  </si>
  <si>
    <t>Risk-free Rate (Rf)</t>
  </si>
  <si>
    <t>Source: RBI 10-year Government Securities yield (FY2025)</t>
  </si>
  <si>
    <t>Beta (β)</t>
  </si>
  <si>
    <t>Market Risk Premium (Rm - Rf)</t>
  </si>
  <si>
    <t>Source: India Equity Risk Premium (Damodaran estimate)</t>
  </si>
  <si>
    <t>Cost of Equity [Ke = Rf + β×(Rm-Rf)]</t>
  </si>
  <si>
    <t>Cost of Debt</t>
  </si>
  <si>
    <t>Finance Cost (FY2025)</t>
  </si>
  <si>
    <t>Total Debt (FY2025)</t>
  </si>
  <si>
    <t>Pre-tax Cost of Debt [Kd = FC/Debt]</t>
  </si>
  <si>
    <t>Tax Rate</t>
  </si>
  <si>
    <t>Post-tax Cost of Debt [Kd*(1-T)]</t>
  </si>
  <si>
    <t>WACC</t>
  </si>
  <si>
    <t>Source</t>
  </si>
  <si>
    <t>Weight</t>
  </si>
  <si>
    <t>Cost</t>
  </si>
  <si>
    <t>Weighted Cost</t>
  </si>
  <si>
    <t>Debt</t>
  </si>
  <si>
    <t>Equity</t>
  </si>
  <si>
    <t>wacc = we*ke+wd*kd</t>
  </si>
  <si>
    <t>Ratio Analysis- Larsen &amp; Toubro</t>
  </si>
  <si>
    <t>Trends</t>
  </si>
  <si>
    <t>Mean</t>
  </si>
  <si>
    <t>Median</t>
  </si>
  <si>
    <t>Sales Growth</t>
  </si>
  <si>
    <t>EBITDA Growth</t>
  </si>
  <si>
    <t>EBIT Growth</t>
  </si>
  <si>
    <t>Net Profit Growth</t>
  </si>
  <si>
    <t xml:space="preserve">Dividend Growth </t>
  </si>
  <si>
    <t>Gross Margin</t>
  </si>
  <si>
    <t>EBIT Margin</t>
  </si>
  <si>
    <t>EBT Margin</t>
  </si>
  <si>
    <t>Net Profit Margin</t>
  </si>
  <si>
    <t>Sales Expenses%Sales</t>
  </si>
  <si>
    <t>Depriciation%Sales</t>
  </si>
  <si>
    <t>Operating Income%Sales</t>
  </si>
  <si>
    <t xml:space="preserve">Return on Capital Employed </t>
  </si>
  <si>
    <t>Retained Earning %</t>
  </si>
  <si>
    <t>Return on Equity %</t>
  </si>
  <si>
    <t xml:space="preserve">Self Sustained Growth Rate </t>
  </si>
  <si>
    <t xml:space="preserve">Interest Coverage Ratio </t>
  </si>
  <si>
    <t>Debtor Turnover Ratio</t>
  </si>
  <si>
    <t>Creditor Turnover Ratio</t>
  </si>
  <si>
    <t>Inventory Turnover</t>
  </si>
  <si>
    <t>Fixed Asset Turnover</t>
  </si>
  <si>
    <t>Capital Turnover Ratio</t>
  </si>
  <si>
    <t>(In days)</t>
  </si>
  <si>
    <t>Debtors Day</t>
  </si>
  <si>
    <t>Payable Days</t>
  </si>
  <si>
    <t>Inventory Days</t>
  </si>
  <si>
    <t>Cash Conversion Cycle</t>
  </si>
  <si>
    <t>CFO/Sales</t>
  </si>
  <si>
    <t>CFO/Total Assets</t>
  </si>
  <si>
    <t>CFO/Total Debt</t>
  </si>
  <si>
    <t xml:space="preserve">Particular </t>
  </si>
  <si>
    <t>EBIT</t>
  </si>
  <si>
    <t>Less: Tax on EBIT</t>
  </si>
  <si>
    <t>EBIT * (1- Tax) NOPAT</t>
  </si>
  <si>
    <t xml:space="preserve">Less: Net Capital expenditure </t>
  </si>
  <si>
    <t>Avg of effective tax rate</t>
  </si>
  <si>
    <t xml:space="preserve">Less: Net Change in working Capital </t>
  </si>
  <si>
    <t>Reinvestment</t>
  </si>
  <si>
    <t>Free Cash Flow</t>
  </si>
  <si>
    <t>Marginal tax rate</t>
  </si>
  <si>
    <t xml:space="preserve">Reinvestment Rate </t>
  </si>
  <si>
    <t xml:space="preserve">Median Reinvestment rate   /Sales percentage </t>
  </si>
  <si>
    <t xml:space="preserve">Average Reinvestment rate   /Sales percentage </t>
  </si>
  <si>
    <t xml:space="preserve">Inventory </t>
  </si>
  <si>
    <t xml:space="preserve">Trade Receivables </t>
  </si>
  <si>
    <t>Trade Payable</t>
  </si>
  <si>
    <t xml:space="preserve">Non Cash working Capital </t>
  </si>
  <si>
    <t xml:space="preserve">Change in Working Capital </t>
  </si>
  <si>
    <t xml:space="preserve">change in working Capital /percentage of sales </t>
  </si>
  <si>
    <t xml:space="preserve">Median Non Cash working Capital  /Sales percentage </t>
  </si>
  <si>
    <t xml:space="preserve">Average  Non Cash working Capital  /Sales percentage </t>
  </si>
  <si>
    <t xml:space="preserve">Beginning balance </t>
  </si>
  <si>
    <t xml:space="preserve">Add: Net Purchases </t>
  </si>
  <si>
    <t xml:space="preserve">Total Fixed Assets </t>
  </si>
  <si>
    <t xml:space="preserve">Less: Depreciation </t>
  </si>
  <si>
    <t xml:space="preserve">Closing Balance(Fixed Asests ) </t>
  </si>
  <si>
    <t xml:space="preserve">Net Capital expenditure </t>
  </si>
  <si>
    <t xml:space="preserve">Net Capital expenditure / Sales percentage </t>
  </si>
  <si>
    <t xml:space="preserve">Median Capital expenditure /Sales percentage </t>
  </si>
  <si>
    <t xml:space="preserve">Average  Capital expenditure /Sales percentage </t>
  </si>
  <si>
    <t>L&amp;T</t>
  </si>
  <si>
    <t>Particulars (in RS Cr.)</t>
  </si>
  <si>
    <t>Mar 22</t>
  </si>
  <si>
    <t>Mar 23</t>
  </si>
  <si>
    <t>Mar 24</t>
  </si>
  <si>
    <t>Revenue from operations</t>
  </si>
  <si>
    <t>Revenue growth in %</t>
  </si>
  <si>
    <t>Less: Material cost</t>
  </si>
  <si>
    <t>Less: Employee costs</t>
  </si>
  <si>
    <t>Less: Other Expenses</t>
  </si>
  <si>
    <t>EBITDA</t>
  </si>
  <si>
    <t>Less: Depreciation And Amortization</t>
  </si>
  <si>
    <t xml:space="preserve">EBIT </t>
  </si>
  <si>
    <t>ADD: Non operating  income/ Other Income</t>
  </si>
  <si>
    <t xml:space="preserve">Less: Interest Expenses </t>
  </si>
  <si>
    <t>EBT</t>
  </si>
  <si>
    <t>Less: TAX</t>
  </si>
  <si>
    <t>Less:Non Controlling Interest/Minority Interest</t>
  </si>
  <si>
    <t>Net Profit- Pat</t>
  </si>
  <si>
    <t>Historical Growth</t>
  </si>
  <si>
    <t>Average Growth</t>
  </si>
  <si>
    <t>CAGR</t>
  </si>
  <si>
    <t>RRI</t>
  </si>
  <si>
    <t>Margins</t>
  </si>
  <si>
    <t>Net Proftt</t>
  </si>
  <si>
    <t>Effective tax rate</t>
  </si>
  <si>
    <t>Marginal Tax rate</t>
  </si>
  <si>
    <t>Return On Capital</t>
  </si>
  <si>
    <t>EBIT*(1-T)</t>
  </si>
  <si>
    <t>Book Equity</t>
  </si>
  <si>
    <t>Book Debt</t>
  </si>
  <si>
    <t>Cash and Cash equivalents</t>
  </si>
  <si>
    <t>Capital Employed</t>
  </si>
  <si>
    <t>Pre-Tax Return on capital</t>
  </si>
  <si>
    <t>Post Tax return On capital</t>
  </si>
  <si>
    <t>Growth In EBIT</t>
  </si>
  <si>
    <t>Sales Forecasting</t>
  </si>
  <si>
    <t>EBITDA Forecasting</t>
  </si>
  <si>
    <t>Earning per share Forecasting</t>
  </si>
  <si>
    <t>Year Weight</t>
  </si>
  <si>
    <t>Year</t>
  </si>
  <si>
    <t>Sales</t>
  </si>
  <si>
    <t>EPS</t>
  </si>
  <si>
    <t>EPS Growth</t>
  </si>
  <si>
    <t>Historical Avg Growth</t>
  </si>
  <si>
    <t>Forecast Avg Growth</t>
  </si>
  <si>
    <t>Scenario 1: High Growth</t>
  </si>
  <si>
    <t>INR Cr.</t>
  </si>
  <si>
    <t>LTM</t>
  </si>
  <si>
    <t>Y1E</t>
  </si>
  <si>
    <t>Y2E</t>
  </si>
  <si>
    <t>Y3E</t>
  </si>
  <si>
    <t>Y4W</t>
  </si>
  <si>
    <t>Y5E</t>
  </si>
  <si>
    <t>Y6E</t>
  </si>
  <si>
    <t>Y7E</t>
  </si>
  <si>
    <t>Y8E</t>
  </si>
  <si>
    <t>Y9E</t>
  </si>
  <si>
    <t>Y10E</t>
  </si>
  <si>
    <t>Risk free rate</t>
  </si>
  <si>
    <t>Sales Growth %</t>
  </si>
  <si>
    <t>Scenario 2: Average Growth</t>
  </si>
  <si>
    <t>Average rate</t>
  </si>
  <si>
    <t>Scenario 3: EBIT Growth</t>
  </si>
  <si>
    <t>Live Scenario</t>
  </si>
  <si>
    <t>Growth Rate (g = ROE x Retention Ratio)</t>
  </si>
  <si>
    <t>Dividend Per Share (Rs.)</t>
  </si>
  <si>
    <t>EPS (Rs.)</t>
  </si>
  <si>
    <t>ROE</t>
  </si>
  <si>
    <t>Payout Ratio (DPR)</t>
  </si>
  <si>
    <t>DPS/EPS</t>
  </si>
  <si>
    <t>Retention Ratio (b = 1 - DPR)</t>
  </si>
  <si>
    <t>Growth Rate (g)</t>
  </si>
  <si>
    <t>INR Cr</t>
  </si>
  <si>
    <t>Y4E</t>
  </si>
  <si>
    <t>Terminal Year</t>
  </si>
  <si>
    <t>Terminal growth rate %</t>
  </si>
  <si>
    <t xml:space="preserve">Sales </t>
  </si>
  <si>
    <t>Cost of Capital %</t>
  </si>
  <si>
    <t>Terminal reinvestment rate %</t>
  </si>
  <si>
    <t>EBIT Margin %</t>
  </si>
  <si>
    <t>Enterprise value = Equity Value + Minority interest</t>
  </si>
  <si>
    <t>EBIT(1-T)</t>
  </si>
  <si>
    <t>Less: Net Capital Expenditure</t>
  </si>
  <si>
    <t>Non Cash Working Capital</t>
  </si>
  <si>
    <t>Less: Change in Working Capital</t>
  </si>
  <si>
    <t>Free Cash Flow To Firm (FCFF)</t>
  </si>
  <si>
    <t>Implied Reinvestment rate %</t>
  </si>
  <si>
    <t>Terminal Value</t>
  </si>
  <si>
    <t>Present Value Interest Factor(PVIF)</t>
  </si>
  <si>
    <t>Present value of FCFF</t>
  </si>
  <si>
    <t>Present value of Terminal value</t>
  </si>
  <si>
    <t>Calculation of Sensitivity Analysis</t>
  </si>
  <si>
    <t>Value of operating assets</t>
  </si>
  <si>
    <t>Terminal
Growth ↓ / WACC →</t>
  </si>
  <si>
    <t>Add: Cash</t>
  </si>
  <si>
    <t>Less: Debt</t>
  </si>
  <si>
    <t>Less: Minority Interest</t>
  </si>
  <si>
    <t>Equity Value</t>
  </si>
  <si>
    <t>No. of Shares outstanding (Cr)</t>
  </si>
  <si>
    <t xml:space="preserve">intrinsic value per share </t>
  </si>
  <si>
    <t>RELATIVE VALUATION – L&amp;T  (FY2025  |  INR Crores)</t>
  </si>
  <si>
    <t>Company</t>
  </si>
  <si>
    <t>Market Data</t>
  </si>
  <si>
    <t>Financial Data</t>
  </si>
  <si>
    <t>Valuation Ratios</t>
  </si>
  <si>
    <t>Price
(₹)</t>
  </si>
  <si>
    <t>Shares
(Cr.)</t>
  </si>
  <si>
    <t>Mkt Cap
(Cr.)</t>
  </si>
  <si>
    <t>EV
(Cr.)</t>
  </si>
  <si>
    <t>Revenue
(Cr.)</t>
  </si>
  <si>
    <t>EBITDA
(Cr.)</t>
  </si>
  <si>
    <t>EBIT
(Cr.)</t>
  </si>
  <si>
    <t>EPS
(₹)</t>
  </si>
  <si>
    <t>P/E</t>
  </si>
  <si>
    <t>EV/Sales</t>
  </si>
  <si>
    <t>EV/EBITDA</t>
  </si>
  <si>
    <t>EV/EBIT</t>
  </si>
  <si>
    <t>Larsen &amp; Toubro</t>
  </si>
  <si>
    <t>Rail Vikas</t>
  </si>
  <si>
    <t>NBCC</t>
  </si>
  <si>
    <t>IRB Infra.Devl.</t>
  </si>
  <si>
    <t>Kalpataru Proj.</t>
  </si>
  <si>
    <t>Peer Average</t>
  </si>
  <si>
    <t>Peer Median</t>
  </si>
  <si>
    <t>NMDC — IMPLIED SHARE PRICE FROM PEER MULTIPLES</t>
  </si>
  <si>
    <t>Valuation
Basis</t>
  </si>
  <si>
    <t>Peer Avg
Multiple</t>
  </si>
  <si>
    <t>Peer Median
Multiple</t>
  </si>
  <si>
    <t>NMDC
Actual</t>
  </si>
  <si>
    <t>Implied EV
(Avg)</t>
  </si>
  <si>
    <t>Implied EV
(Median)</t>
  </si>
  <si>
    <t>Implied Equity
(Avg)</t>
  </si>
  <si>
    <t>Implied Equity
(Median)</t>
  </si>
  <si>
    <t>Implied Price
(Avg) ₹</t>
  </si>
  <si>
    <t>Implied Price
(Med) ₹</t>
  </si>
  <si>
    <t>CMP ₹</t>
  </si>
  <si>
    <t>Premium/Disc
(vs Avg)</t>
  </si>
  <si>
    <t>Premium/Disc
(vs Med)</t>
  </si>
  <si>
    <t>EV / Sales</t>
  </si>
  <si>
    <t>EV / EBITDA</t>
  </si>
  <si>
    <t>P / E</t>
  </si>
  <si>
    <t>EV/Revenue</t>
  </si>
  <si>
    <t>P/E Ratio</t>
  </si>
  <si>
    <t>Max</t>
  </si>
  <si>
    <t>75th Percentile</t>
  </si>
  <si>
    <t>Average</t>
  </si>
  <si>
    <t>median</t>
  </si>
  <si>
    <t>25th Percentile</t>
  </si>
  <si>
    <t>Min.</t>
  </si>
  <si>
    <t xml:space="preserve"> Industry Comparable comps</t>
  </si>
  <si>
    <t xml:space="preserve"> </t>
  </si>
  <si>
    <t>Implied Enterprise Value</t>
  </si>
  <si>
    <t>Net Debt</t>
  </si>
  <si>
    <t>Implied Market Value</t>
  </si>
  <si>
    <t>Share Outstanding</t>
  </si>
  <si>
    <t>Implied Value per Share</t>
  </si>
  <si>
    <t>Financial Year</t>
  </si>
  <si>
    <t>Revenue (₹ Crore)</t>
  </si>
  <si>
    <t>Profit After Tax (PAT) (₹ Crore)</t>
  </si>
  <si>
    <t>Revenue Change (%)</t>
  </si>
  <si>
    <t>PAT Change (%)</t>
  </si>
  <si>
    <t>Nifty 50 Change (%)</t>
  </si>
  <si>
    <t>Nifty 50 Prices</t>
  </si>
  <si>
    <t>Market Cap</t>
  </si>
  <si>
    <t>₹ 5,74,683 </t>
  </si>
  <si>
    <t>FY 2025-26</t>
  </si>
  <si>
    <t>Current Price</t>
  </si>
  <si>
    <t>₹ 4,177</t>
  </si>
  <si>
    <t>FY 2024-25</t>
  </si>
  <si>
    <t>High / Low</t>
  </si>
  <si>
    <t>₹ 4,440 / 3,288</t>
  </si>
  <si>
    <t>FY 2023-24</t>
  </si>
  <si>
    <t>Stock P/E</t>
  </si>
  <si>
    <t>FY 2022-23</t>
  </si>
  <si>
    <t>Book Value</t>
  </si>
  <si>
    <t>₹ 794</t>
  </si>
  <si>
    <t>FY 2021-22</t>
  </si>
  <si>
    <t>Dividend Yield</t>
  </si>
  <si>
    <t>0.89 %</t>
  </si>
  <si>
    <t>ROCE</t>
  </si>
  <si>
    <t>14.6 %</t>
  </si>
  <si>
    <t>15.9 %</t>
  </si>
  <si>
    <t>Face Value</t>
  </si>
  <si>
    <t>₹ 2.00</t>
  </si>
  <si>
    <t>INVESTMENT VIEW &amp; RECOMMENDATION</t>
  </si>
  <si>
    <t>Investment Thesis — Why It Works</t>
  </si>
  <si>
    <t>•  Record order book of ₹7,40,327 Cr (+27.8% YoY) and all-time-high order inflows of ₹4,35,590 Cr (+22.1% YoY) provide multi-year revenue visibility, with international orders contributing 58% of FY26 inflows.</t>
  </si>
  <si>
    <t>•  Revenue grew 11.8% YoY to ₹2,85,874 Cr — the fastest pace in three years — while EBITDA margin expanded to 10.2%, an early sign of operating leverage coming through in the Infrastructure &amp; Energy segments.</t>
  </si>
  <si>
    <t>•  Balance sheet is de-risking: Net Debt:Equity improved to 0.35:1 from 0.60:1 in FY25, aided by monetising non-core, capital-heavy assets (Nabha Power sale to Torrent Power; Hyderabad Metro stake divestment).</t>
  </si>
  <si>
    <t>•  New-age bets — L&amp;T Semiconductor Technologies, L&amp;T Vyoma data centres, and a 51% green portfolio — add optional, longer-duration growth levers beyond the core EPC cycle as the Lakshya 2031 plan is finalised.</t>
  </si>
  <si>
    <t>Key Risks &amp; Watch-Points</t>
  </si>
  <si>
    <t>•  Stock trades at ~38.6x trailing P/E and ~5.3x Book Value — in line with peer average P/E (38.4x) but leaving little room for de-rating if order-to-revenue conversion slips or execution timelines stretch.</t>
  </si>
  <si>
    <t>•  Under the model's conservative ‘EBIT Growth’ live scenario, DCF intrinsic value works out to just ~₹1,188/share — a reminder that a large part of the current price already bakes in continued high growth.</t>
  </si>
  <si>
    <t>•  Dividend yield is low (0.89%), so returns depend almost entirely on earnings growth and re-rating playing out as expected — this is a growth bet, not an income one.</t>
  </si>
  <si>
    <t>Valuation Snapshot (linked to DCF &amp; Relative Valuation sheets)</t>
  </si>
  <si>
    <t>Valuation Basis</t>
  </si>
  <si>
    <t>Implied Value / Share (₹)   |   Premium / (Discount) to CMP</t>
  </si>
  <si>
    <t>Current Market Price (CMP)</t>
  </si>
  <si>
    <t>—</t>
  </si>
  <si>
    <t>P/E — Peer Average (~38x)</t>
  </si>
  <si>
    <t>EV/Sales — Peer Average</t>
  </si>
  <si>
    <t>EV/EBITDA — Peer Average</t>
  </si>
  <si>
    <t>DCF Intrinsic Value (conservative growth scenario)</t>
  </si>
  <si>
    <t>RECOMMENDATION:  BUY — ACCUMULATE ON DIPS   |   LONG-TERM (3+ YEAR HORIZON)</t>
  </si>
  <si>
    <t>L&amp;T's FY26 operating performance — record order book, accelerating revenue, expanding margins and a de-leveraging balance sheet — supports a constructive long-term view. The Relative Valuation read-through (EV/Sales and EV/EBITDA implying ₹4,750–5,900/share) suggests the market is not over-paying for this growth, even though the stock isn't cheap at ~38x earnings on an absolute basis. A staggered, SIP-style entry is the more sensible way to build a position rather than a one-time lump-sum buy.</t>
  </si>
  <si>
    <t>Analyst note: The DCF intrinsic value (₹1,188) uses the most conservative of the three modelled Growth Scenarios (Sales CAGR ~1–6% vs. the order book's actual +27.8% YoY growth) and is best read as a downside stress-test, not the base-case fair value.</t>
  </si>
  <si>
    <t>SLOPE</t>
  </si>
  <si>
    <t>COVARIANCE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</si>
</sst>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d\-mmm\-yy"/>
    <numFmt numFmtId="165" formatCode="mmm&quot; '&quot;yy"/>
    <numFmt numFmtId="166" formatCode="0.0%"/>
    <numFmt numFmtId="167" formatCode="m/d/yyyy"/>
    <numFmt numFmtId="168" formatCode="_ * #,##0.00_ ;_ * \-#,##0.00_ ;_ * \-??_ ;_ @_ "/>
    <numFmt numFmtId="169" formatCode="0.00\x"/>
    <numFmt numFmtId="170" formatCode="0.000000000000000%"/>
    <numFmt numFmtId="171" formatCode="mmm\-yy"/>
    <numFmt numFmtId="172" formatCode="yyyy\A"/>
    <numFmt numFmtId="173" formatCode="yyyy\E"/>
    <numFmt numFmtId="174" formatCode="_ * #,##0.0000_ ;_ * \-#,##0.0000_ ;_ * \-??_ ;_ @_ "/>
    <numFmt numFmtId="175" formatCode="0.0\x"/>
    <numFmt numFmtId="176" formatCode="#,##0.0"/>
    <numFmt numFmtId="177" formatCode="\₹#,##0"/>
    <numFmt numFmtId="178" formatCode="0.0%;\(0.0%\);\-"/>
    <numFmt numFmtId="179" formatCode="0.0"/>
    <numFmt numFmtId="180" formatCode="0.0000"/>
    <numFmt numFmtId="181" formatCode="0.\X"/>
    <numFmt numFmtId="182" formatCode="0.000%"/>
    <numFmt numFmtId="183" formatCode="&quot;₹ &quot;#,##0"/>
    <numFmt numFmtId="184" formatCode="0.0%;\(0.0%\)"/>
  </numFmts>
  <fonts count="7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8"/>
      <color rgb="FFFFFFFF"/>
      <name val="Arial"/>
      <family val="2"/>
      <charset val="1"/>
    </font>
    <font>
      <sz val="10"/>
      <color rgb="FF1A1A2E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1A1A2E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0"/>
      <color rgb="FF7B3F00"/>
      <name val="Arial"/>
      <family val="2"/>
      <charset val="1"/>
    </font>
    <font>
      <sz val="11"/>
      <color rgb="FF595959"/>
      <name val="Calibri"/>
      <family val="2"/>
      <charset val="1"/>
    </font>
    <font>
      <b/>
      <sz val="14"/>
      <color rgb="FFFFFFFF"/>
      <name val="Arial"/>
      <family val="2"/>
      <charset val="1"/>
    </font>
    <font>
      <sz val="10"/>
      <name val="Arial"/>
      <family val="2"/>
      <charset val="1"/>
    </font>
    <font>
      <sz val="9"/>
      <color rgb="FF595959"/>
      <name val="Arial"/>
      <family val="2"/>
      <charset val="1"/>
    </font>
    <font>
      <i/>
      <sz val="9"/>
      <color rgb="FF555555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9"/>
      <name val="Arial"/>
      <family val="2"/>
      <charset val="1"/>
    </font>
    <font>
      <sz val="9"/>
      <name val="Arial"/>
      <family val="2"/>
      <charset val="1"/>
    </font>
    <font>
      <i/>
      <sz val="8"/>
      <color rgb="FF777777"/>
      <name val="Arial"/>
      <family val="2"/>
      <charset val="1"/>
    </font>
    <font>
      <i/>
      <sz val="8"/>
      <color rgb="FF595959"/>
      <name val="Arial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8"/>
      <color rgb="FF000000"/>
      <name val="Poppins"/>
    </font>
    <font>
      <sz val="8"/>
      <color rgb="FF000000"/>
      <name val="Poppins"/>
    </font>
    <font>
      <b/>
      <sz val="8"/>
      <color rgb="FFFFFFFF"/>
      <name val="Poppins"/>
    </font>
    <font>
      <i/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name val="Arial"/>
      <family val="2"/>
      <charset val="1"/>
    </font>
    <font>
      <i/>
      <sz val="11"/>
      <color rgb="FF595959"/>
      <name val="Arial"/>
      <family val="2"/>
      <charset val="1"/>
    </font>
    <font>
      <sz val="11"/>
      <color rgb="FF0000FF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1"/>
      <color theme="0"/>
      <name val="Calibri"/>
      <family val="2"/>
      <charset val="1"/>
    </font>
    <font>
      <sz val="10"/>
      <name val="Calibri"/>
      <family val="2"/>
      <charset val="1"/>
    </font>
    <font>
      <b/>
      <i/>
      <sz val="11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20"/>
      <color theme="0"/>
      <name val="Calibri"/>
      <family val="2"/>
      <charset val="1"/>
    </font>
    <font>
      <sz val="10"/>
      <color rgb="FF0000FF"/>
      <name val="Calibri"/>
      <family val="2"/>
      <charset val="1"/>
    </font>
    <font>
      <sz val="11"/>
      <color rgb="FF0070C0"/>
      <name val="Calibri"/>
      <family val="2"/>
      <charset val="1"/>
    </font>
    <font>
      <b/>
      <sz val="11"/>
      <color rgb="FF000000"/>
      <name val="Calibri"/>
      <family val="2"/>
      <charset val="1"/>
    </font>
    <font>
      <i/>
      <sz val="11"/>
      <name val="Calibri"/>
      <family val="2"/>
      <charset val="1"/>
    </font>
    <font>
      <sz val="11"/>
      <color theme="1"/>
      <name val="Cambria"/>
      <family val="1"/>
      <charset val="1"/>
    </font>
    <font>
      <b/>
      <sz val="11"/>
      <color theme="0"/>
      <name val="Cambria"/>
      <family val="1"/>
      <charset val="1"/>
    </font>
    <font>
      <b/>
      <sz val="9"/>
      <name val="Cambria"/>
      <family val="1"/>
      <charset val="1"/>
    </font>
    <font>
      <b/>
      <sz val="12"/>
      <color theme="0"/>
      <name val="Arial"/>
      <family val="2"/>
      <charset val="1"/>
    </font>
    <font>
      <b/>
      <sz val="10"/>
      <color theme="0"/>
      <name val="Arial"/>
      <family val="2"/>
      <charset val="1"/>
    </font>
    <font>
      <b/>
      <sz val="9"/>
      <color theme="0"/>
      <name val="Arial"/>
      <family val="2"/>
      <charset val="1"/>
    </font>
    <font>
      <u/>
      <sz val="11"/>
      <color theme="10"/>
      <name val="Calibri"/>
      <family val="2"/>
      <charset val="1"/>
    </font>
    <font>
      <sz val="11"/>
      <color rgb="FF22222F"/>
      <name val="Calibri"/>
      <family val="2"/>
      <charset val="1"/>
    </font>
    <font>
      <b/>
      <sz val="11"/>
      <color rgb="FF22222F"/>
      <name val="Calibri"/>
      <family val="2"/>
      <charset val="1"/>
    </font>
    <font>
      <b/>
      <sz val="10"/>
      <name val="Arial"/>
      <family val="2"/>
      <charset val="1"/>
    </font>
    <font>
      <sz val="7"/>
      <color theme="1"/>
      <name val="Arial"/>
      <family val="2"/>
      <charset val="1"/>
    </font>
    <font>
      <sz val="7"/>
      <color rgb="FF000000"/>
      <name val="Arial"/>
      <family val="2"/>
      <charset val="1"/>
    </font>
    <font>
      <b/>
      <sz val="11"/>
      <color theme="0"/>
      <name val="Arial"/>
      <family val="2"/>
      <charset val="1"/>
    </font>
    <font>
      <sz val="11"/>
      <color rgb="FF606F7B"/>
      <name val="Arial"/>
      <family val="2"/>
      <charset val="1"/>
    </font>
    <font>
      <sz val="11"/>
      <color rgb="FF22222F"/>
      <name val="Arial"/>
      <family val="2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1A1A2E"/>
      <name val="Arial"/>
      <family val="2"/>
    </font>
    <font>
      <b/>
      <sz val="10"/>
      <color rgb="FFFFFFFF"/>
      <name val="Arial"/>
      <family val="2"/>
    </font>
    <font>
      <b/>
      <sz val="10"/>
      <color rgb="FF1A1A2E"/>
      <name val="Arial"/>
      <family val="2"/>
    </font>
    <font>
      <sz val="10.5"/>
      <color rgb="FF1A1A2E"/>
      <name val="Arial"/>
      <family val="2"/>
    </font>
    <font>
      <i/>
      <sz val="9.5"/>
      <color rgb="FF7B3F00"/>
      <name val="Arial"/>
      <family val="2"/>
    </font>
    <font>
      <i/>
      <sz val="8.5"/>
      <color rgb="FF595959"/>
      <name val="Arial"/>
      <family val="2"/>
    </font>
    <font>
      <b/>
      <sz val="10"/>
      <name val="Arial"/>
      <family val="2"/>
    </font>
    <font>
      <sz val="11"/>
      <color theme="0"/>
      <name val="Calibri"/>
      <family val="2"/>
      <charset val="1"/>
    </font>
  </fonts>
  <fills count="49">
    <fill>
      <patternFill patternType="none"/>
    </fill>
    <fill>
      <patternFill patternType="gray125"/>
    </fill>
    <fill>
      <patternFill patternType="solid">
        <fgColor rgb="FF1F3864"/>
        <bgColor rgb="FF243166"/>
      </patternFill>
    </fill>
    <fill>
      <patternFill patternType="solid">
        <fgColor rgb="FFEBF3FB"/>
        <bgColor rgb="FFEBF0FA"/>
      </patternFill>
    </fill>
    <fill>
      <patternFill patternType="solid">
        <fgColor rgb="FF2E5FA3"/>
        <bgColor rgb="FF2E5395"/>
      </patternFill>
    </fill>
    <fill>
      <patternFill patternType="solid">
        <fgColor rgb="FFD6E4F7"/>
        <bgColor rgb="FFD9E3F3"/>
      </patternFill>
    </fill>
    <fill>
      <patternFill patternType="solid">
        <fgColor rgb="FFFFF2CC"/>
        <bgColor rgb="FFFBE5D6"/>
      </patternFill>
    </fill>
    <fill>
      <patternFill patternType="solid">
        <fgColor rgb="FFD9E1F2"/>
        <bgColor rgb="FFD9E3F3"/>
      </patternFill>
    </fill>
    <fill>
      <patternFill patternType="solid">
        <fgColor rgb="FFFFFFFF"/>
        <bgColor rgb="FFF8F8FC"/>
      </patternFill>
    </fill>
    <fill>
      <patternFill patternType="solid">
        <fgColor theme="4" tint="0.79927976317636651"/>
        <bgColor rgb="FFD9E1F2"/>
      </patternFill>
    </fill>
    <fill>
      <patternFill patternType="solid">
        <fgColor rgb="FF243166"/>
        <bgColor rgb="FF1F3864"/>
      </patternFill>
    </fill>
    <fill>
      <patternFill patternType="solid">
        <fgColor theme="0" tint="-0.14999847407452621"/>
        <bgColor rgb="FFE0E0E0"/>
      </patternFill>
    </fill>
    <fill>
      <patternFill patternType="solid">
        <fgColor rgb="FFE0E0E0"/>
        <bgColor rgb="FFD9D9D9"/>
      </patternFill>
    </fill>
    <fill>
      <patternFill patternType="solid">
        <fgColor rgb="FFA7A7A7"/>
        <bgColor rgb="FFBFBFBF"/>
      </patternFill>
    </fill>
    <fill>
      <patternFill patternType="solid">
        <fgColor theme="0" tint="-0.249977111117893"/>
        <bgColor rgb="FFA7A7A7"/>
      </patternFill>
    </fill>
    <fill>
      <patternFill patternType="solid">
        <fgColor rgb="FF002060"/>
        <bgColor rgb="FF1D324E"/>
      </patternFill>
    </fill>
    <fill>
      <patternFill patternType="solid">
        <fgColor rgb="FFDEEAF1"/>
        <bgColor rgb="FFDDEBF7"/>
      </patternFill>
    </fill>
    <fill>
      <patternFill patternType="solid">
        <fgColor rgb="FF1D324E"/>
        <bgColor rgb="FF1F3864"/>
      </patternFill>
    </fill>
    <fill>
      <patternFill patternType="solid">
        <fgColor theme="5" tint="-0.249977111117893"/>
        <bgColor rgb="FF843C0B"/>
      </patternFill>
    </fill>
    <fill>
      <patternFill patternType="solid">
        <fgColor rgb="FFF8F8FC"/>
        <bgColor rgb="FFF2F2F2"/>
      </patternFill>
    </fill>
    <fill>
      <patternFill patternType="solid">
        <fgColor rgb="FFD5E8F5"/>
        <bgColor rgb="FFD6E4F7"/>
      </patternFill>
    </fill>
    <fill>
      <patternFill patternType="solid">
        <fgColor theme="4" tint="-0.249977111117893"/>
        <bgColor rgb="FF243166"/>
      </patternFill>
    </fill>
    <fill>
      <patternFill patternType="solid">
        <fgColor theme="4" tint="-0.249977111117893"/>
        <bgColor rgb="FF2E5395"/>
      </patternFill>
    </fill>
    <fill>
      <patternFill patternType="solid">
        <fgColor theme="0"/>
        <bgColor rgb="FF24316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BF3FB"/>
      </patternFill>
    </fill>
    <fill>
      <patternFill patternType="solid">
        <fgColor theme="0"/>
        <bgColor rgb="FFF8F8FC"/>
      </patternFill>
    </fill>
    <fill>
      <patternFill patternType="solid">
        <fgColor theme="0"/>
        <bgColor rgb="FFD9E3F3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2E5395"/>
      </patternFill>
    </fill>
    <fill>
      <patternFill patternType="solid">
        <fgColor theme="4" tint="-0.249977111117893"/>
        <bgColor rgb="FF2E5090"/>
      </patternFill>
    </fill>
    <fill>
      <patternFill patternType="solid">
        <fgColor theme="0"/>
        <bgColor rgb="FFFBE5D6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D9E1F2"/>
      </patternFill>
    </fill>
    <fill>
      <patternFill patternType="solid">
        <fgColor theme="0"/>
        <bgColor rgb="FFE0E0E0"/>
      </patternFill>
    </fill>
    <fill>
      <patternFill patternType="solid">
        <fgColor theme="4" tint="-0.249977111117893"/>
        <bgColor rgb="FFFFF2C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D9E1F2"/>
      </patternFill>
    </fill>
    <fill>
      <patternFill patternType="solid">
        <fgColor theme="4" tint="-0.249977111117893"/>
        <bgColor rgb="FF1A5276"/>
      </patternFill>
    </fill>
    <fill>
      <patternFill patternType="solid">
        <fgColor theme="4" tint="-0.249977111117893"/>
        <bgColor rgb="FF1D324E"/>
      </patternFill>
    </fill>
    <fill>
      <patternFill patternType="solid">
        <fgColor theme="4" tint="-0.249977111117893"/>
        <bgColor rgb="FFDEEAF1"/>
      </patternFill>
    </fill>
    <fill>
      <patternFill patternType="solid">
        <fgColor theme="4" tint="-0.249977111117893"/>
        <bgColor rgb="FF1F3864"/>
      </patternFill>
    </fill>
    <fill>
      <patternFill patternType="solid">
        <fgColor theme="4" tint="-0.249977111117893"/>
        <bgColor rgb="FF18507A"/>
      </patternFill>
    </fill>
    <fill>
      <patternFill patternType="solid">
        <fgColor theme="4" tint="-0.249977111117893"/>
        <bgColor rgb="FF2E5FA3"/>
      </patternFill>
    </fill>
    <fill>
      <patternFill patternType="solid">
        <fgColor theme="4" tint="-0.249977111117893"/>
        <bgColor rgb="FFC55A11"/>
      </patternFill>
    </fill>
    <fill>
      <patternFill patternType="solid">
        <fgColor theme="4" tint="-0.249977111117893"/>
        <bgColor rgb="FF7B3F00"/>
      </patternFill>
    </fill>
    <fill>
      <patternFill patternType="solid">
        <fgColor theme="4" tint="-0.249977111117893"/>
        <bgColor rgb="FF843C0B"/>
      </patternFill>
    </fill>
    <fill>
      <patternFill patternType="solid">
        <fgColor theme="0"/>
        <bgColor rgb="FFF2F2F2"/>
      </patternFill>
    </fill>
    <fill>
      <patternFill patternType="solid">
        <fgColor theme="4" tint="-0.249977111117893"/>
        <bgColor rgb="FF1F3F5A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F2F2F2"/>
      </left>
      <right style="medium">
        <color rgb="FFF2F2F2"/>
      </right>
      <top/>
      <bottom/>
      <diagonal/>
    </border>
  </borders>
  <cellStyleXfs count="1">
    <xf numFmtId="0" fontId="0" fillId="0" borderId="0"/>
  </cellStyleXfs>
  <cellXfs count="336">
    <xf numFmtId="0" fontId="0" fillId="0" borderId="0" xfId="0"/>
    <xf numFmtId="0" fontId="5" fillId="4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6" fillId="5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11" fillId="0" borderId="1" xfId="0" applyFont="1" applyBorder="1"/>
    <xf numFmtId="0" fontId="11" fillId="0" borderId="0" xfId="0" applyFont="1"/>
    <xf numFmtId="0" fontId="11" fillId="0" borderId="2" xfId="0" applyFont="1" applyBorder="1"/>
    <xf numFmtId="0" fontId="11" fillId="0" borderId="3" xfId="0" applyFont="1" applyBorder="1"/>
    <xf numFmtId="3" fontId="11" fillId="0" borderId="3" xfId="0" applyNumberFormat="1" applyFont="1" applyBorder="1"/>
    <xf numFmtId="0" fontId="6" fillId="0" borderId="0" xfId="0" applyFont="1"/>
    <xf numFmtId="0" fontId="0" fillId="0" borderId="4" xfId="0" applyBorder="1"/>
    <xf numFmtId="0" fontId="0" fillId="0" borderId="0" xfId="0" applyFont="1"/>
    <xf numFmtId="0" fontId="17" fillId="0" borderId="0" xfId="0" applyFont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8" fillId="0" borderId="0" xfId="0" applyFont="1"/>
    <xf numFmtId="0" fontId="20" fillId="0" borderId="0" xfId="0" applyFont="1"/>
    <xf numFmtId="0" fontId="21" fillId="8" borderId="2" xfId="0" applyFont="1" applyFill="1" applyBorder="1" applyAlignment="1">
      <alignment horizontal="left" vertical="center" wrapText="1"/>
    </xf>
    <xf numFmtId="164" fontId="22" fillId="8" borderId="2" xfId="0" applyNumberFormat="1" applyFont="1" applyFill="1" applyBorder="1" applyAlignment="1">
      <alignment horizontal="left" vertical="center" wrapText="1"/>
    </xf>
    <xf numFmtId="164" fontId="22" fillId="8" borderId="2" xfId="0" applyNumberFormat="1" applyFont="1" applyFill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left" vertical="center" wrapText="1"/>
    </xf>
    <xf numFmtId="0" fontId="23" fillId="10" borderId="2" xfId="0" applyFont="1" applyFill="1" applyBorder="1" applyAlignment="1">
      <alignment horizontal="center" vertical="center" wrapText="1"/>
    </xf>
    <xf numFmtId="0" fontId="19" fillId="11" borderId="4" xfId="0" applyFont="1" applyFill="1" applyBorder="1" applyAlignment="1">
      <alignment horizontal="center" vertical="center"/>
    </xf>
    <xf numFmtId="0" fontId="20" fillId="0" borderId="4" xfId="0" applyFont="1" applyBorder="1"/>
    <xf numFmtId="0" fontId="22" fillId="8" borderId="2" xfId="0" applyFont="1" applyFill="1" applyBorder="1" applyAlignment="1">
      <alignment horizontal="left" vertical="center" wrapText="1"/>
    </xf>
    <xf numFmtId="4" fontId="22" fillId="8" borderId="2" xfId="0" applyNumberFormat="1" applyFont="1" applyFill="1" applyBorder="1" applyAlignment="1">
      <alignment horizontal="left" vertical="center" wrapText="1"/>
    </xf>
    <xf numFmtId="4" fontId="22" fillId="8" borderId="2" xfId="0" applyNumberFormat="1" applyFont="1" applyFill="1" applyBorder="1" applyAlignment="1">
      <alignment horizontal="right" vertical="center" wrapText="1"/>
    </xf>
    <xf numFmtId="0" fontId="20" fillId="9" borderId="4" xfId="0" applyFont="1" applyFill="1" applyBorder="1" applyAlignment="1">
      <alignment horizontal="center" vertical="center" wrapText="1"/>
    </xf>
    <xf numFmtId="4" fontId="20" fillId="9" borderId="4" xfId="0" applyNumberFormat="1" applyFont="1" applyFill="1" applyBorder="1" applyAlignment="1">
      <alignment horizontal="right"/>
    </xf>
    <xf numFmtId="4" fontId="20" fillId="9" borderId="5" xfId="0" applyNumberFormat="1" applyFont="1" applyFill="1" applyBorder="1" applyAlignment="1">
      <alignment horizontal="right"/>
    </xf>
    <xf numFmtId="166" fontId="20" fillId="0" borderId="4" xfId="0" applyNumberFormat="1" applyFont="1" applyBorder="1" applyAlignment="1">
      <alignment horizontal="right"/>
    </xf>
    <xf numFmtId="4" fontId="20" fillId="0" borderId="4" xfId="0" applyNumberFormat="1" applyFont="1" applyBorder="1" applyAlignment="1">
      <alignment horizontal="right"/>
    </xf>
    <xf numFmtId="0" fontId="22" fillId="8" borderId="2" xfId="0" applyFont="1" applyFill="1" applyBorder="1" applyAlignment="1">
      <alignment horizontal="right" vertical="center" wrapText="1"/>
    </xf>
    <xf numFmtId="0" fontId="0" fillId="8" borderId="0" xfId="0" applyFill="1"/>
    <xf numFmtId="0" fontId="20" fillId="11" borderId="4" xfId="0" applyFont="1" applyFill="1" applyBorder="1" applyAlignment="1">
      <alignment horizontal="right"/>
    </xf>
    <xf numFmtId="0" fontId="20" fillId="11" borderId="5" xfId="0" applyFont="1" applyFill="1" applyBorder="1" applyAlignment="1">
      <alignment horizontal="right"/>
    </xf>
    <xf numFmtId="0" fontId="20" fillId="0" borderId="0" xfId="0" applyFont="1" applyAlignment="1">
      <alignment horizontal="right"/>
    </xf>
    <xf numFmtId="0" fontId="19" fillId="0" borderId="4" xfId="0" applyFont="1" applyBorder="1" applyAlignment="1">
      <alignment horizontal="center" vertical="top"/>
    </xf>
    <xf numFmtId="167" fontId="0" fillId="0" borderId="4" xfId="0" applyNumberFormat="1" applyBorder="1"/>
    <xf numFmtId="2" fontId="0" fillId="0" borderId="4" xfId="0" applyNumberFormat="1" applyBorder="1"/>
    <xf numFmtId="0" fontId="24" fillId="0" borderId="7" xfId="0" applyFont="1" applyBorder="1" applyAlignment="1">
      <alignment horizontal="center"/>
    </xf>
    <xf numFmtId="0" fontId="0" fillId="0" borderId="8" xfId="0" applyFont="1" applyBorder="1"/>
    <xf numFmtId="0" fontId="25" fillId="0" borderId="8" xfId="0" applyFont="1" applyBorder="1"/>
    <xf numFmtId="0" fontId="4" fillId="0" borderId="0" xfId="0" applyFont="1"/>
    <xf numFmtId="0" fontId="26" fillId="12" borderId="9" xfId="0" applyFont="1" applyFill="1" applyBorder="1"/>
    <xf numFmtId="4" fontId="27" fillId="0" borderId="4" xfId="0" applyNumberFormat="1" applyFont="1" applyBorder="1"/>
    <xf numFmtId="0" fontId="28" fillId="0" borderId="0" xfId="0" applyFont="1"/>
    <xf numFmtId="4" fontId="29" fillId="0" borderId="0" xfId="0" applyNumberFormat="1" applyFont="1"/>
    <xf numFmtId="168" fontId="30" fillId="13" borderId="10" xfId="0" applyNumberFormat="1" applyFont="1" applyFill="1" applyBorder="1" applyAlignment="1">
      <alignment horizontal="left"/>
    </xf>
    <xf numFmtId="4" fontId="31" fillId="13" borderId="4" xfId="0" applyNumberFormat="1" applyFont="1" applyFill="1" applyBorder="1"/>
    <xf numFmtId="0" fontId="26" fillId="12" borderId="11" xfId="0" applyFont="1" applyFill="1" applyBorder="1"/>
    <xf numFmtId="166" fontId="27" fillId="0" borderId="4" xfId="0" applyNumberFormat="1" applyFont="1" applyBorder="1"/>
    <xf numFmtId="168" fontId="30" fillId="13" borderId="12" xfId="0" applyNumberFormat="1" applyFont="1" applyFill="1" applyBorder="1"/>
    <xf numFmtId="169" fontId="32" fillId="13" borderId="4" xfId="0" applyNumberFormat="1" applyFont="1" applyFill="1" applyBorder="1"/>
    <xf numFmtId="0" fontId="26" fillId="12" borderId="4" xfId="0" applyFont="1" applyFill="1" applyBorder="1"/>
    <xf numFmtId="166" fontId="20" fillId="8" borderId="4" xfId="0" applyNumberFormat="1" applyFont="1" applyFill="1" applyBorder="1" applyAlignment="1">
      <alignment horizontal="center"/>
    </xf>
    <xf numFmtId="2" fontId="27" fillId="8" borderId="4" xfId="0" applyNumberFormat="1" applyFont="1" applyFill="1" applyBorder="1" applyAlignment="1">
      <alignment horizontal="center"/>
    </xf>
    <xf numFmtId="10" fontId="30" fillId="13" borderId="4" xfId="0" applyNumberFormat="1" applyFont="1" applyFill="1" applyBorder="1"/>
    <xf numFmtId="166" fontId="31" fillId="13" borderId="4" xfId="0" applyNumberFormat="1" applyFont="1" applyFill="1" applyBorder="1" applyAlignment="1">
      <alignment horizontal="center"/>
    </xf>
    <xf numFmtId="10" fontId="26" fillId="12" borderId="4" xfId="0" applyNumberFormat="1" applyFont="1" applyFill="1" applyBorder="1" applyAlignment="1">
      <alignment horizontal="left" vertical="center"/>
    </xf>
    <xf numFmtId="4" fontId="27" fillId="8" borderId="4" xfId="0" applyNumberFormat="1" applyFont="1" applyFill="1" applyBorder="1" applyAlignment="1">
      <alignment horizontal="center" vertical="center"/>
    </xf>
    <xf numFmtId="4" fontId="27" fillId="8" borderId="4" xfId="0" applyNumberFormat="1" applyFont="1" applyFill="1" applyBorder="1" applyAlignment="1">
      <alignment horizontal="center"/>
    </xf>
    <xf numFmtId="166" fontId="27" fillId="8" borderId="4" xfId="0" applyNumberFormat="1" applyFont="1" applyFill="1" applyBorder="1" applyAlignment="1">
      <alignment horizontal="center"/>
    </xf>
    <xf numFmtId="168" fontId="26" fillId="12" borderId="4" xfId="0" applyNumberFormat="1" applyFont="1" applyFill="1" applyBorder="1"/>
    <xf numFmtId="166" fontId="27" fillId="14" borderId="4" xfId="0" applyNumberFormat="1" applyFont="1" applyFill="1" applyBorder="1" applyAlignment="1">
      <alignment horizontal="center"/>
    </xf>
    <xf numFmtId="0" fontId="30" fillId="13" borderId="4" xfId="0" applyFont="1" applyFill="1" applyBorder="1"/>
    <xf numFmtId="166" fontId="32" fillId="13" borderId="4" xfId="0" applyNumberFormat="1" applyFont="1" applyFill="1" applyBorder="1"/>
    <xf numFmtId="10" fontId="30" fillId="7" borderId="14" xfId="0" applyNumberFormat="1" applyFont="1" applyFill="1" applyBorder="1" applyAlignment="1">
      <alignment horizontal="center"/>
    </xf>
    <xf numFmtId="10" fontId="30" fillId="7" borderId="15" xfId="0" applyNumberFormat="1" applyFont="1" applyFill="1" applyBorder="1" applyAlignment="1">
      <alignment horizontal="center"/>
    </xf>
    <xf numFmtId="10" fontId="30" fillId="7" borderId="16" xfId="0" applyNumberFormat="1" applyFont="1" applyFill="1" applyBorder="1" applyAlignment="1">
      <alignment horizontal="center"/>
    </xf>
    <xf numFmtId="10" fontId="26" fillId="12" borderId="11" xfId="0" applyNumberFormat="1" applyFont="1" applyFill="1" applyBorder="1" applyAlignment="1">
      <alignment horizontal="left"/>
    </xf>
    <xf numFmtId="166" fontId="33" fillId="8" borderId="17" xfId="0" applyNumberFormat="1" applyFont="1" applyFill="1" applyBorder="1" applyAlignment="1">
      <alignment horizontal="center"/>
    </xf>
    <xf numFmtId="166" fontId="33" fillId="8" borderId="15" xfId="0" applyNumberFormat="1" applyFont="1" applyFill="1" applyBorder="1" applyAlignment="1">
      <alignment horizontal="center"/>
    </xf>
    <xf numFmtId="166" fontId="33" fillId="8" borderId="16" xfId="0" applyNumberFormat="1" applyFont="1" applyFill="1" applyBorder="1" applyAlignment="1">
      <alignment horizontal="center"/>
    </xf>
    <xf numFmtId="166" fontId="32" fillId="14" borderId="18" xfId="0" applyNumberFormat="1" applyFont="1" applyFill="1" applyBorder="1"/>
    <xf numFmtId="168" fontId="9" fillId="14" borderId="18" xfId="0" applyNumberFormat="1" applyFont="1" applyFill="1" applyBorder="1"/>
    <xf numFmtId="166" fontId="32" fillId="6" borderId="19" xfId="0" applyNumberFormat="1" applyFont="1" applyFill="1" applyBorder="1"/>
    <xf numFmtId="170" fontId="0" fillId="0" borderId="0" xfId="0" applyNumberFormat="1"/>
    <xf numFmtId="10" fontId="20" fillId="0" borderId="4" xfId="0" applyNumberFormat="1" applyFont="1" applyBorder="1"/>
    <xf numFmtId="10" fontId="36" fillId="0" borderId="4" xfId="0" applyNumberFormat="1" applyFont="1" applyBorder="1"/>
    <xf numFmtId="166" fontId="20" fillId="0" borderId="4" xfId="0" applyNumberFormat="1" applyFont="1" applyBorder="1"/>
    <xf numFmtId="4" fontId="36" fillId="0" borderId="4" xfId="0" applyNumberFormat="1" applyFont="1" applyBorder="1"/>
    <xf numFmtId="0" fontId="37" fillId="0" borderId="4" xfId="0" applyFont="1" applyBorder="1"/>
    <xf numFmtId="0" fontId="19" fillId="0" borderId="4" xfId="0" applyFont="1" applyBorder="1"/>
    <xf numFmtId="4" fontId="20" fillId="0" borderId="4" xfId="0" applyNumberFormat="1" applyFont="1" applyBorder="1"/>
    <xf numFmtId="10" fontId="38" fillId="0" borderId="0" xfId="0" applyNumberFormat="1" applyFont="1"/>
    <xf numFmtId="4" fontId="19" fillId="0" borderId="4" xfId="0" applyNumberFormat="1" applyFont="1" applyBorder="1"/>
    <xf numFmtId="10" fontId="36" fillId="0" borderId="0" xfId="0" applyNumberFormat="1" applyFont="1"/>
    <xf numFmtId="10" fontId="39" fillId="0" borderId="0" xfId="0" applyNumberFormat="1" applyFont="1"/>
    <xf numFmtId="10" fontId="38" fillId="0" borderId="4" xfId="0" applyNumberFormat="1" applyFont="1" applyBorder="1"/>
    <xf numFmtId="4" fontId="36" fillId="0" borderId="5" xfId="0" applyNumberFormat="1" applyFont="1" applyBorder="1"/>
    <xf numFmtId="4" fontId="38" fillId="0" borderId="4" xfId="0" applyNumberFormat="1" applyFont="1" applyBorder="1"/>
    <xf numFmtId="0" fontId="25" fillId="0" borderId="4" xfId="0" applyFont="1" applyBorder="1"/>
    <xf numFmtId="0" fontId="25" fillId="0" borderId="4" xfId="0" applyFont="1" applyBorder="1" applyAlignment="1">
      <alignment horizontal="center"/>
    </xf>
    <xf numFmtId="0" fontId="19" fillId="0" borderId="20" xfId="0" applyFont="1" applyBorder="1"/>
    <xf numFmtId="0" fontId="20" fillId="0" borderId="5" xfId="0" applyFont="1" applyBorder="1"/>
    <xf numFmtId="10" fontId="41" fillId="0" borderId="4" xfId="0" applyNumberFormat="1" applyFont="1" applyBorder="1"/>
    <xf numFmtId="10" fontId="39" fillId="0" borderId="4" xfId="0" applyNumberFormat="1" applyFont="1" applyBorder="1"/>
    <xf numFmtId="0" fontId="39" fillId="0" borderId="4" xfId="0" applyFont="1" applyBorder="1" applyAlignment="1">
      <alignment horizontal="left"/>
    </xf>
    <xf numFmtId="172" fontId="39" fillId="0" borderId="4" xfId="0" applyNumberFormat="1" applyFont="1" applyBorder="1" applyAlignment="1">
      <alignment horizontal="right"/>
    </xf>
    <xf numFmtId="4" fontId="42" fillId="0" borderId="4" xfId="0" applyNumberFormat="1" applyFont="1" applyBorder="1"/>
    <xf numFmtId="166" fontId="39" fillId="0" borderId="4" xfId="0" applyNumberFormat="1" applyFont="1" applyBorder="1"/>
    <xf numFmtId="0" fontId="43" fillId="16" borderId="4" xfId="0" applyFont="1" applyFill="1" applyBorder="1" applyAlignment="1">
      <alignment horizontal="left"/>
    </xf>
    <xf numFmtId="173" fontId="43" fillId="16" borderId="4" xfId="0" applyNumberFormat="1" applyFont="1" applyFill="1" applyBorder="1" applyAlignment="1">
      <alignment horizontal="right"/>
    </xf>
    <xf numFmtId="4" fontId="43" fillId="16" borderId="4" xfId="0" applyNumberFormat="1" applyFont="1" applyFill="1" applyBorder="1"/>
    <xf numFmtId="166" fontId="43" fillId="16" borderId="4" xfId="0" applyNumberFormat="1" applyFont="1" applyFill="1" applyBorder="1"/>
    <xf numFmtId="0" fontId="43" fillId="0" borderId="0" xfId="0" applyFont="1"/>
    <xf numFmtId="166" fontId="43" fillId="0" borderId="0" xfId="0" applyNumberFormat="1" applyFont="1"/>
    <xf numFmtId="0" fontId="44" fillId="0" borderId="4" xfId="0" applyFont="1" applyBorder="1"/>
    <xf numFmtId="0" fontId="19" fillId="0" borderId="4" xfId="0" applyFont="1" applyBorder="1" applyAlignment="1">
      <alignment horizontal="right"/>
    </xf>
    <xf numFmtId="168" fontId="20" fillId="0" borderId="4" xfId="0" applyNumberFormat="1" applyFont="1" applyBorder="1" applyAlignment="1">
      <alignment horizontal="right"/>
    </xf>
    <xf numFmtId="10" fontId="25" fillId="0" borderId="0" xfId="0" applyNumberFormat="1" applyFont="1"/>
    <xf numFmtId="10" fontId="0" fillId="0" borderId="0" xfId="0" applyNumberFormat="1"/>
    <xf numFmtId="0" fontId="20" fillId="0" borderId="4" xfId="0" applyFont="1" applyBorder="1" applyAlignment="1">
      <alignment horizontal="right"/>
    </xf>
    <xf numFmtId="10" fontId="20" fillId="0" borderId="4" xfId="0" applyNumberFormat="1" applyFont="1" applyBorder="1" applyAlignment="1">
      <alignment horizontal="right"/>
    </xf>
    <xf numFmtId="0" fontId="25" fillId="0" borderId="0" xfId="0" applyFont="1"/>
    <xf numFmtId="9" fontId="20" fillId="0" borderId="4" xfId="0" applyNumberFormat="1" applyFont="1" applyBorder="1" applyAlignment="1">
      <alignment horizontal="right"/>
    </xf>
    <xf numFmtId="10" fontId="45" fillId="0" borderId="0" xfId="0" applyNumberFormat="1" applyFont="1"/>
    <xf numFmtId="0" fontId="35" fillId="17" borderId="4" xfId="0" applyFont="1" applyFill="1" applyBorder="1" applyAlignment="1">
      <alignment horizontal="right"/>
    </xf>
    <xf numFmtId="4" fontId="0" fillId="0" borderId="0" xfId="0" applyNumberFormat="1"/>
    <xf numFmtId="0" fontId="25" fillId="0" borderId="21" xfId="0" applyFont="1" applyBorder="1"/>
    <xf numFmtId="0" fontId="25" fillId="0" borderId="21" xfId="0" applyFont="1" applyBorder="1" applyAlignment="1">
      <alignment horizontal="right"/>
    </xf>
    <xf numFmtId="0" fontId="0" fillId="0" borderId="0" xfId="0" applyFont="1" applyAlignment="1">
      <alignment horizontal="left"/>
    </xf>
    <xf numFmtId="168" fontId="0" fillId="0" borderId="0" xfId="0" applyNumberFormat="1"/>
    <xf numFmtId="4" fontId="39" fillId="0" borderId="0" xfId="0" applyNumberFormat="1" applyFont="1"/>
    <xf numFmtId="166" fontId="39" fillId="0" borderId="0" xfId="0" applyNumberFormat="1" applyFont="1"/>
    <xf numFmtId="174" fontId="0" fillId="0" borderId="0" xfId="0" applyNumberFormat="1"/>
    <xf numFmtId="0" fontId="37" fillId="0" borderId="0" xfId="0" applyFont="1"/>
    <xf numFmtId="168" fontId="25" fillId="0" borderId="0" xfId="0" applyNumberFormat="1" applyFont="1"/>
    <xf numFmtId="2" fontId="0" fillId="0" borderId="0" xfId="0" applyNumberFormat="1"/>
    <xf numFmtId="9" fontId="0" fillId="0" borderId="0" xfId="0" applyNumberFormat="1"/>
    <xf numFmtId="0" fontId="46" fillId="15" borderId="0" xfId="0" applyFont="1" applyFill="1"/>
    <xf numFmtId="0" fontId="35" fillId="15" borderId="0" xfId="0" applyFont="1" applyFill="1"/>
    <xf numFmtId="2" fontId="47" fillId="0" borderId="0" xfId="0" applyNumberFormat="1" applyFont="1" applyAlignment="1">
      <alignment wrapText="1"/>
    </xf>
    <xf numFmtId="0" fontId="24" fillId="0" borderId="0" xfId="0" applyFont="1"/>
    <xf numFmtId="4" fontId="25" fillId="0" borderId="0" xfId="0" applyNumberFormat="1" applyFont="1" applyAlignment="1">
      <alignment horizontal="left"/>
    </xf>
    <xf numFmtId="166" fontId="43" fillId="0" borderId="0" xfId="0" applyNumberFormat="1" applyFont="1" applyAlignment="1">
      <alignment horizontal="left"/>
    </xf>
    <xf numFmtId="4" fontId="39" fillId="14" borderId="0" xfId="0" applyNumberFormat="1" applyFont="1" applyFill="1"/>
    <xf numFmtId="0" fontId="25" fillId="0" borderId="22" xfId="0" applyFont="1" applyBorder="1"/>
    <xf numFmtId="0" fontId="0" fillId="0" borderId="22" xfId="0" applyBorder="1"/>
    <xf numFmtId="168" fontId="25" fillId="0" borderId="22" xfId="0" applyNumberFormat="1" applyFont="1" applyBorder="1"/>
    <xf numFmtId="0" fontId="25" fillId="18" borderId="0" xfId="0" applyFont="1" applyFill="1"/>
    <xf numFmtId="4" fontId="39" fillId="8" borderId="0" xfId="0" applyNumberFormat="1" applyFont="1" applyFill="1"/>
    <xf numFmtId="2" fontId="25" fillId="0" borderId="22" xfId="0" applyNumberFormat="1" applyFont="1" applyBorder="1"/>
    <xf numFmtId="0" fontId="51" fillId="19" borderId="4" xfId="0" applyFont="1" applyFill="1" applyBorder="1" applyAlignment="1">
      <alignment horizontal="left" vertical="center"/>
    </xf>
    <xf numFmtId="0" fontId="52" fillId="19" borderId="4" xfId="0" applyFont="1" applyFill="1" applyBorder="1" applyAlignment="1">
      <alignment vertical="center" wrapText="1"/>
    </xf>
    <xf numFmtId="3" fontId="53" fillId="0" borderId="4" xfId="0" applyNumberFormat="1" applyFont="1" applyBorder="1" applyAlignment="1">
      <alignment horizontal="center"/>
    </xf>
    <xf numFmtId="3" fontId="52" fillId="0" borderId="4" xfId="0" applyNumberFormat="1" applyFont="1" applyBorder="1"/>
    <xf numFmtId="4" fontId="52" fillId="0" borderId="4" xfId="0" applyNumberFormat="1" applyFont="1" applyBorder="1" applyAlignment="1">
      <alignment horizontal="center"/>
    </xf>
    <xf numFmtId="175" fontId="20" fillId="20" borderId="4" xfId="0" applyNumberFormat="1" applyFont="1" applyFill="1" applyBorder="1"/>
    <xf numFmtId="0" fontId="51" fillId="8" borderId="4" xfId="0" applyFont="1" applyFill="1" applyBorder="1" applyAlignment="1">
      <alignment horizontal="left" vertical="center"/>
    </xf>
    <xf numFmtId="0" fontId="52" fillId="8" borderId="4" xfId="0" applyFont="1" applyFill="1" applyBorder="1" applyAlignment="1">
      <alignment vertical="center" wrapText="1"/>
    </xf>
    <xf numFmtId="0" fontId="52" fillId="0" borderId="4" xfId="0" applyFont="1" applyBorder="1"/>
    <xf numFmtId="176" fontId="20" fillId="0" borderId="4" xfId="0" applyNumberFormat="1" applyFont="1" applyBorder="1"/>
    <xf numFmtId="0" fontId="52" fillId="0" borderId="4" xfId="0" applyFont="1" applyBorder="1" applyAlignment="1">
      <alignment horizontal="center"/>
    </xf>
    <xf numFmtId="0" fontId="54" fillId="0" borderId="23" xfId="0" applyFont="1" applyBorder="1" applyAlignment="1">
      <alignment horizontal="left" vertical="center"/>
    </xf>
    <xf numFmtId="3" fontId="19" fillId="0" borderId="23" xfId="0" applyNumberFormat="1" applyFont="1" applyBorder="1"/>
    <xf numFmtId="3" fontId="19" fillId="0" borderId="4" xfId="0" applyNumberFormat="1" applyFont="1" applyBorder="1"/>
    <xf numFmtId="0" fontId="54" fillId="0" borderId="4" xfId="0" applyFont="1" applyBorder="1" applyAlignment="1">
      <alignment horizontal="left" vertical="center"/>
    </xf>
    <xf numFmtId="4" fontId="55" fillId="8" borderId="24" xfId="0" applyNumberFormat="1" applyFont="1" applyFill="1" applyBorder="1" applyAlignment="1">
      <alignment horizontal="right" vertical="center" wrapText="1"/>
    </xf>
    <xf numFmtId="0" fontId="55" fillId="8" borderId="24" xfId="0" applyFont="1" applyFill="1" applyBorder="1" applyAlignment="1">
      <alignment horizontal="right" vertical="center" wrapText="1"/>
    </xf>
    <xf numFmtId="4" fontId="56" fillId="0" borderId="0" xfId="0" applyNumberFormat="1" applyFont="1"/>
    <xf numFmtId="175" fontId="20" fillId="0" borderId="4" xfId="0" applyNumberFormat="1" applyFont="1" applyBorder="1" applyAlignment="1">
      <alignment horizontal="center" vertical="center"/>
    </xf>
    <xf numFmtId="3" fontId="20" fillId="0" borderId="4" xfId="0" applyNumberFormat="1" applyFont="1" applyBorder="1" applyAlignment="1">
      <alignment horizontal="center" vertical="center"/>
    </xf>
    <xf numFmtId="177" fontId="20" fillId="0" borderId="4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horizontal="center" vertical="center"/>
    </xf>
    <xf numFmtId="0" fontId="20" fillId="8" borderId="0" xfId="0" applyFont="1" applyFill="1" applyAlignment="1">
      <alignment horizontal="left" vertical="center"/>
    </xf>
    <xf numFmtId="179" fontId="20" fillId="0" borderId="0" xfId="0" applyNumberFormat="1" applyFont="1"/>
    <xf numFmtId="180" fontId="20" fillId="0" borderId="0" xfId="0" applyNumberFormat="1" applyFont="1"/>
    <xf numFmtId="181" fontId="20" fillId="0" borderId="0" xfId="0" applyNumberFormat="1" applyFont="1"/>
    <xf numFmtId="2" fontId="20" fillId="0" borderId="0" xfId="0" applyNumberFormat="1" applyFont="1"/>
    <xf numFmtId="0" fontId="19" fillId="0" borderId="0" xfId="0" applyFont="1"/>
    <xf numFmtId="0" fontId="19" fillId="0" borderId="22" xfId="0" applyFont="1" applyBorder="1"/>
    <xf numFmtId="0" fontId="20" fillId="0" borderId="22" xfId="0" applyFont="1" applyBorder="1"/>
    <xf numFmtId="2" fontId="19" fillId="0" borderId="22" xfId="0" applyNumberFormat="1" applyFont="1" applyBorder="1"/>
    <xf numFmtId="0" fontId="58" fillId="0" borderId="0" xfId="0" applyFont="1" applyAlignment="1">
      <alignment horizontal="left" vertical="center" indent="2"/>
    </xf>
    <xf numFmtId="0" fontId="58" fillId="0" borderId="0" xfId="0" applyFont="1" applyAlignment="1">
      <alignment horizontal="left" vertical="center"/>
    </xf>
    <xf numFmtId="0" fontId="58" fillId="0" borderId="0" xfId="0" applyFont="1" applyAlignment="1">
      <alignment horizontal="right" vertical="center" wrapText="1"/>
    </xf>
    <xf numFmtId="0" fontId="59" fillId="0" borderId="0" xfId="0" applyFont="1" applyAlignment="1">
      <alignment horizontal="left" vertical="center" indent="2"/>
    </xf>
    <xf numFmtId="0" fontId="51" fillId="0" borderId="0" xfId="0" applyFont="1" applyAlignment="1">
      <alignment horizontal="left" vertical="center"/>
    </xf>
    <xf numFmtId="0" fontId="59" fillId="0" borderId="0" xfId="0" applyFont="1" applyAlignment="1">
      <alignment horizontal="right" vertical="center" wrapText="1"/>
    </xf>
    <xf numFmtId="0" fontId="3" fillId="3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top" wrapText="1"/>
    </xf>
    <xf numFmtId="0" fontId="5" fillId="4" borderId="0" xfId="0" applyFont="1" applyFill="1" applyBorder="1" applyAlignment="1">
      <alignment horizontal="left" vertical="center" wrapText="1"/>
    </xf>
    <xf numFmtId="0" fontId="4" fillId="4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24" fillId="0" borderId="7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61" fillId="4" borderId="0" xfId="0" applyFont="1" applyFill="1" applyBorder="1" applyAlignment="1">
      <alignment horizontal="left" vertical="center" wrapText="1"/>
    </xf>
    <xf numFmtId="0" fontId="62" fillId="8" borderId="0" xfId="0" applyFont="1" applyFill="1" applyBorder="1" applyAlignment="1">
      <alignment horizontal="left" vertical="center" wrapText="1"/>
    </xf>
    <xf numFmtId="0" fontId="64" fillId="7" borderId="0" xfId="0" applyFont="1" applyFill="1" applyBorder="1" applyAlignment="1">
      <alignment horizontal="left" vertical="center" indent="1"/>
    </xf>
    <xf numFmtId="183" fontId="68" fillId="7" borderId="0" xfId="0" applyNumberFormat="1" applyFont="1" applyFill="1" applyBorder="1" applyAlignment="1">
      <alignment horizontal="center" vertical="center"/>
    </xf>
    <xf numFmtId="0" fontId="62" fillId="7" borderId="0" xfId="0" applyFont="1" applyFill="1" applyBorder="1" applyAlignment="1">
      <alignment horizontal="center" vertical="center"/>
    </xf>
    <xf numFmtId="0" fontId="62" fillId="8" borderId="0" xfId="0" applyFont="1" applyFill="1" applyBorder="1" applyAlignment="1">
      <alignment horizontal="left" vertical="center" indent="1"/>
    </xf>
    <xf numFmtId="183" fontId="1" fillId="8" borderId="0" xfId="0" applyNumberFormat="1" applyFont="1" applyFill="1" applyBorder="1" applyAlignment="1">
      <alignment horizontal="center" vertical="center"/>
    </xf>
    <xf numFmtId="184" fontId="62" fillId="8" borderId="0" xfId="0" applyNumberFormat="1" applyFont="1" applyFill="1" applyBorder="1" applyAlignment="1">
      <alignment horizontal="center" vertical="center"/>
    </xf>
    <xf numFmtId="0" fontId="65" fillId="8" borderId="0" xfId="0" applyFont="1" applyFill="1" applyBorder="1" applyAlignment="1">
      <alignment horizontal="left" vertical="center" wrapText="1"/>
    </xf>
    <xf numFmtId="0" fontId="67" fillId="8" borderId="0" xfId="0" applyFont="1" applyFill="1" applyBorder="1" applyAlignment="1">
      <alignment horizontal="left" vertical="center" wrapText="1"/>
    </xf>
    <xf numFmtId="0" fontId="4" fillId="21" borderId="4" xfId="0" applyFont="1" applyFill="1" applyBorder="1" applyAlignment="1">
      <alignment horizontal="left" vertical="center"/>
    </xf>
    <xf numFmtId="0" fontId="14" fillId="22" borderId="4" xfId="0" applyFont="1" applyFill="1" applyBorder="1" applyAlignment="1">
      <alignment horizontal="center" vertical="center" wrapText="1"/>
    </xf>
    <xf numFmtId="0" fontId="14" fillId="23" borderId="4" xfId="0" applyFont="1" applyFill="1" applyBorder="1" applyAlignment="1">
      <alignment horizontal="left" vertical="center"/>
    </xf>
    <xf numFmtId="0" fontId="0" fillId="24" borderId="4" xfId="0" applyFill="1" applyBorder="1"/>
    <xf numFmtId="0" fontId="15" fillId="25" borderId="4" xfId="0" applyFont="1" applyFill="1" applyBorder="1" applyAlignment="1">
      <alignment horizontal="left" vertical="center"/>
    </xf>
    <xf numFmtId="4" fontId="16" fillId="25" borderId="4" xfId="0" applyNumberFormat="1" applyFont="1" applyFill="1" applyBorder="1" applyAlignment="1">
      <alignment horizontal="right" vertical="center"/>
    </xf>
    <xf numFmtId="0" fontId="15" fillId="26" borderId="4" xfId="0" applyFont="1" applyFill="1" applyBorder="1" applyAlignment="1">
      <alignment horizontal="left" vertical="center"/>
    </xf>
    <xf numFmtId="4" fontId="16" fillId="26" borderId="4" xfId="0" applyNumberFormat="1" applyFont="1" applyFill="1" applyBorder="1" applyAlignment="1">
      <alignment horizontal="right" vertical="center"/>
    </xf>
    <xf numFmtId="0" fontId="16" fillId="25" borderId="4" xfId="0" applyFont="1" applyFill="1" applyBorder="1" applyAlignment="1">
      <alignment horizontal="left" vertical="center"/>
    </xf>
    <xf numFmtId="0" fontId="15" fillId="27" borderId="4" xfId="0" applyFont="1" applyFill="1" applyBorder="1" applyAlignment="1">
      <alignment horizontal="left" vertical="center"/>
    </xf>
    <xf numFmtId="4" fontId="15" fillId="27" borderId="4" xfId="0" applyNumberFormat="1" applyFont="1" applyFill="1" applyBorder="1" applyAlignment="1">
      <alignment horizontal="right" vertical="center"/>
    </xf>
    <xf numFmtId="0" fontId="15" fillId="28" borderId="4" xfId="0" applyFont="1" applyFill="1" applyBorder="1" applyAlignment="1">
      <alignment horizontal="left" vertical="center"/>
    </xf>
    <xf numFmtId="4" fontId="15" fillId="28" borderId="4" xfId="0" applyNumberFormat="1" applyFont="1" applyFill="1" applyBorder="1" applyAlignment="1">
      <alignment horizontal="right" vertical="center"/>
    </xf>
    <xf numFmtId="0" fontId="16" fillId="26" borderId="4" xfId="0" applyFont="1" applyFill="1" applyBorder="1" applyAlignment="1">
      <alignment horizontal="left" vertical="center"/>
    </xf>
    <xf numFmtId="0" fontId="14" fillId="29" borderId="4" xfId="0" applyFont="1" applyFill="1" applyBorder="1" applyAlignment="1">
      <alignment horizontal="left" vertical="center"/>
    </xf>
    <xf numFmtId="0" fontId="10" fillId="21" borderId="1" xfId="0" applyFont="1" applyFill="1" applyBorder="1" applyAlignment="1">
      <alignment horizontal="center" vertical="center" wrapText="1"/>
    </xf>
    <xf numFmtId="0" fontId="4" fillId="30" borderId="0" xfId="0" applyFont="1" applyFill="1" applyBorder="1" applyAlignment="1">
      <alignment horizontal="center" vertical="center" wrapText="1"/>
    </xf>
    <xf numFmtId="0" fontId="5" fillId="21" borderId="3" xfId="0" applyFont="1" applyFill="1" applyBorder="1" applyAlignment="1">
      <alignment horizontal="center" vertical="center" wrapText="1"/>
    </xf>
    <xf numFmtId="0" fontId="3" fillId="24" borderId="3" xfId="0" applyFont="1" applyFill="1" applyBorder="1" applyAlignment="1">
      <alignment horizontal="center" vertical="center" wrapText="1"/>
    </xf>
    <xf numFmtId="0" fontId="3" fillId="24" borderId="3" xfId="0" applyFont="1" applyFill="1" applyBorder="1" applyAlignment="1">
      <alignment horizontal="left" vertical="center" wrapText="1"/>
    </xf>
    <xf numFmtId="3" fontId="3" fillId="24" borderId="3" xfId="0" applyNumberFormat="1" applyFont="1" applyFill="1" applyBorder="1" applyAlignment="1">
      <alignment horizontal="left" vertical="center" wrapText="1"/>
    </xf>
    <xf numFmtId="3" fontId="3" fillId="24" borderId="3" xfId="0" applyNumberFormat="1" applyFont="1" applyFill="1" applyBorder="1" applyAlignment="1">
      <alignment horizontal="right" vertical="center" wrapText="1"/>
    </xf>
    <xf numFmtId="0" fontId="3" fillId="24" borderId="3" xfId="0" applyFont="1" applyFill="1" applyBorder="1" applyAlignment="1">
      <alignment horizontal="right" vertical="center" wrapText="1"/>
    </xf>
    <xf numFmtId="0" fontId="6" fillId="28" borderId="3" xfId="0" applyFont="1" applyFill="1" applyBorder="1" applyAlignment="1">
      <alignment horizontal="left" vertical="center" wrapText="1"/>
    </xf>
    <xf numFmtId="3" fontId="6" fillId="28" borderId="3" xfId="0" applyNumberFormat="1" applyFont="1" applyFill="1" applyBorder="1" applyAlignment="1">
      <alignment horizontal="left" vertical="center" wrapText="1"/>
    </xf>
    <xf numFmtId="0" fontId="6" fillId="28" borderId="3" xfId="0" applyFont="1" applyFill="1" applyBorder="1" applyAlignment="1">
      <alignment horizontal="center" vertical="center" wrapText="1"/>
    </xf>
    <xf numFmtId="3" fontId="6" fillId="28" borderId="3" xfId="0" applyNumberFormat="1" applyFont="1" applyFill="1" applyBorder="1" applyAlignment="1">
      <alignment horizontal="right" vertical="center" wrapText="1"/>
    </xf>
    <xf numFmtId="0" fontId="6" fillId="28" borderId="3" xfId="0" applyFont="1" applyFill="1" applyBorder="1" applyAlignment="1">
      <alignment horizontal="right" vertical="center" wrapText="1"/>
    </xf>
    <xf numFmtId="3" fontId="5" fillId="21" borderId="3" xfId="0" applyNumberFormat="1" applyFont="1" applyFill="1" applyBorder="1" applyAlignment="1">
      <alignment horizontal="left" vertical="center"/>
    </xf>
    <xf numFmtId="3" fontId="5" fillId="21" borderId="3" xfId="0" applyNumberFormat="1" applyFont="1" applyFill="1" applyBorder="1" applyAlignment="1">
      <alignment horizontal="center" vertical="center" wrapText="1"/>
    </xf>
    <xf numFmtId="0" fontId="6" fillId="27" borderId="3" xfId="0" applyFont="1" applyFill="1" applyBorder="1" applyAlignment="1">
      <alignment horizontal="center" vertical="center" wrapText="1"/>
    </xf>
    <xf numFmtId="0" fontId="7" fillId="21" borderId="0" xfId="0" applyFont="1" applyFill="1" applyBorder="1" applyAlignment="1">
      <alignment horizontal="left" vertical="center"/>
    </xf>
    <xf numFmtId="0" fontId="4" fillId="21" borderId="0" xfId="0" applyFont="1" applyFill="1" applyBorder="1" applyAlignment="1">
      <alignment horizontal="left" vertical="center"/>
    </xf>
    <xf numFmtId="0" fontId="5" fillId="22" borderId="0" xfId="0" applyFont="1" applyFill="1" applyAlignment="1">
      <alignment horizontal="center" vertical="center" wrapText="1"/>
    </xf>
    <xf numFmtId="0" fontId="5" fillId="22" borderId="0" xfId="0" applyFont="1" applyFill="1" applyBorder="1" applyAlignment="1">
      <alignment horizontal="left" vertical="center"/>
    </xf>
    <xf numFmtId="0" fontId="5" fillId="21" borderId="0" xfId="0" applyFont="1" applyFill="1" applyBorder="1" applyAlignment="1">
      <alignment horizontal="left" vertical="center"/>
    </xf>
    <xf numFmtId="0" fontId="5" fillId="21" borderId="0" xfId="0" applyFont="1" applyFill="1" applyAlignment="1">
      <alignment horizontal="center" vertical="center"/>
    </xf>
    <xf numFmtId="0" fontId="5" fillId="21" borderId="0" xfId="0" applyFont="1" applyFill="1" applyAlignment="1">
      <alignment horizontal="left" vertical="center"/>
    </xf>
    <xf numFmtId="0" fontId="8" fillId="31" borderId="0" xfId="0" applyFont="1" applyFill="1" applyBorder="1" applyAlignment="1">
      <alignment horizontal="left" vertical="top" wrapText="1"/>
    </xf>
    <xf numFmtId="0" fontId="6" fillId="27" borderId="0" xfId="0" applyFont="1" applyFill="1" applyBorder="1" applyAlignment="1">
      <alignment horizontal="center" vertical="center"/>
    </xf>
    <xf numFmtId="0" fontId="6" fillId="27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4" fillId="21" borderId="4" xfId="0" applyFont="1" applyFill="1" applyBorder="1" applyAlignment="1">
      <alignment horizontal="left" vertical="center"/>
    </xf>
    <xf numFmtId="0" fontId="50" fillId="22" borderId="4" xfId="0" applyFont="1" applyFill="1" applyBorder="1" applyAlignment="1">
      <alignment horizontal="center" vertical="center" wrapText="1"/>
    </xf>
    <xf numFmtId="0" fontId="50" fillId="21" borderId="4" xfId="0" applyFont="1" applyFill="1" applyBorder="1" applyAlignment="1">
      <alignment horizontal="left" vertical="center"/>
    </xf>
    <xf numFmtId="0" fontId="50" fillId="22" borderId="4" xfId="0" applyFont="1" applyFill="1" applyBorder="1" applyAlignment="1">
      <alignment horizontal="left" vertical="center"/>
    </xf>
    <xf numFmtId="4" fontId="15" fillId="25" borderId="4" xfId="0" applyNumberFormat="1" applyFont="1" applyFill="1" applyBorder="1" applyAlignment="1">
      <alignment horizontal="right" vertical="center"/>
    </xf>
    <xf numFmtId="0" fontId="4" fillId="21" borderId="4" xfId="0" applyFont="1" applyFill="1" applyBorder="1" applyAlignment="1">
      <alignment horizontal="left" vertical="center"/>
    </xf>
    <xf numFmtId="0" fontId="0" fillId="21" borderId="4" xfId="0" applyFill="1" applyBorder="1"/>
    <xf numFmtId="0" fontId="20" fillId="24" borderId="4" xfId="0" applyFont="1" applyFill="1" applyBorder="1" applyAlignment="1">
      <alignment horizontal="center" vertical="center"/>
    </xf>
    <xf numFmtId="0" fontId="19" fillId="32" borderId="4" xfId="0" applyFont="1" applyFill="1" applyBorder="1" applyAlignment="1">
      <alignment horizontal="center" vertical="center" wrapText="1"/>
    </xf>
    <xf numFmtId="165" fontId="19" fillId="32" borderId="4" xfId="0" applyNumberFormat="1" applyFont="1" applyFill="1" applyBorder="1" applyAlignment="1">
      <alignment horizontal="center"/>
    </xf>
    <xf numFmtId="165" fontId="19" fillId="32" borderId="5" xfId="0" applyNumberFormat="1" applyFont="1" applyFill="1" applyBorder="1" applyAlignment="1">
      <alignment horizontal="center"/>
    </xf>
    <xf numFmtId="0" fontId="19" fillId="24" borderId="4" xfId="0" applyFont="1" applyFill="1" applyBorder="1" applyAlignment="1">
      <alignment horizontal="center"/>
    </xf>
    <xf numFmtId="0" fontId="19" fillId="34" borderId="4" xfId="0" applyFont="1" applyFill="1" applyBorder="1" applyAlignment="1">
      <alignment horizontal="center" vertical="center"/>
    </xf>
    <xf numFmtId="4" fontId="20" fillId="34" borderId="4" xfId="0" applyNumberFormat="1" applyFont="1" applyFill="1" applyBorder="1" applyAlignment="1">
      <alignment horizontal="right"/>
    </xf>
    <xf numFmtId="4" fontId="20" fillId="34" borderId="5" xfId="0" applyNumberFormat="1" applyFont="1" applyFill="1" applyBorder="1" applyAlignment="1">
      <alignment horizontal="right"/>
    </xf>
    <xf numFmtId="0" fontId="20" fillId="24" borderId="4" xfId="0" applyFont="1" applyFill="1" applyBorder="1"/>
    <xf numFmtId="0" fontId="20" fillId="33" borderId="4" xfId="0" applyFont="1" applyFill="1" applyBorder="1" applyAlignment="1">
      <alignment horizontal="center" vertical="center" wrapText="1"/>
    </xf>
    <xf numFmtId="4" fontId="20" fillId="33" borderId="4" xfId="0" applyNumberFormat="1" applyFont="1" applyFill="1" applyBorder="1" applyAlignment="1">
      <alignment horizontal="right"/>
    </xf>
    <xf numFmtId="4" fontId="20" fillId="33" borderId="5" xfId="0" applyNumberFormat="1" applyFont="1" applyFill="1" applyBorder="1" applyAlignment="1">
      <alignment horizontal="right"/>
    </xf>
    <xf numFmtId="166" fontId="20" fillId="24" borderId="4" xfId="0" applyNumberFormat="1" applyFont="1" applyFill="1" applyBorder="1" applyAlignment="1">
      <alignment horizontal="right"/>
    </xf>
    <xf numFmtId="0" fontId="20" fillId="27" borderId="4" xfId="0" applyFont="1" applyFill="1" applyBorder="1" applyAlignment="1">
      <alignment horizontal="center" vertical="center" wrapText="1"/>
    </xf>
    <xf numFmtId="4" fontId="20" fillId="27" borderId="4" xfId="0" applyNumberFormat="1" applyFont="1" applyFill="1" applyBorder="1" applyAlignment="1">
      <alignment horizontal="right"/>
    </xf>
    <xf numFmtId="4" fontId="20" fillId="27" borderId="5" xfId="0" applyNumberFormat="1" applyFont="1" applyFill="1" applyBorder="1" applyAlignment="1">
      <alignment horizontal="right"/>
    </xf>
    <xf numFmtId="0" fontId="20" fillId="27" borderId="4" xfId="0" applyFont="1" applyFill="1" applyBorder="1" applyAlignment="1">
      <alignment horizontal="center" vertical="center"/>
    </xf>
    <xf numFmtId="4" fontId="20" fillId="24" borderId="4" xfId="0" applyNumberFormat="1" applyFont="1" applyFill="1" applyBorder="1" applyAlignment="1">
      <alignment horizontal="right"/>
    </xf>
    <xf numFmtId="4" fontId="20" fillId="24" borderId="5" xfId="0" applyNumberFormat="1" applyFont="1" applyFill="1" applyBorder="1" applyAlignment="1">
      <alignment horizontal="right"/>
    </xf>
    <xf numFmtId="0" fontId="19" fillId="34" borderId="4" xfId="0" applyFont="1" applyFill="1" applyBorder="1" applyAlignment="1">
      <alignment horizontal="center" vertical="center" wrapText="1"/>
    </xf>
    <xf numFmtId="0" fontId="20" fillId="24" borderId="4" xfId="0" applyFont="1" applyFill="1" applyBorder="1" applyAlignment="1">
      <alignment horizontal="center" vertical="center" wrapText="1"/>
    </xf>
    <xf numFmtId="0" fontId="20" fillId="31" borderId="4" xfId="0" applyFont="1" applyFill="1" applyBorder="1" applyAlignment="1">
      <alignment horizontal="center" vertical="center" wrapText="1"/>
    </xf>
    <xf numFmtId="4" fontId="20" fillId="31" borderId="4" xfId="0" applyNumberFormat="1" applyFont="1" applyFill="1" applyBorder="1" applyAlignment="1">
      <alignment horizontal="right"/>
    </xf>
    <xf numFmtId="4" fontId="20" fillId="31" borderId="5" xfId="0" applyNumberFormat="1" applyFont="1" applyFill="1" applyBorder="1" applyAlignment="1">
      <alignment horizontal="right"/>
    </xf>
    <xf numFmtId="2" fontId="20" fillId="24" borderId="4" xfId="0" applyNumberFormat="1" applyFont="1" applyFill="1" applyBorder="1" applyAlignment="1">
      <alignment horizontal="right"/>
    </xf>
    <xf numFmtId="2" fontId="20" fillId="24" borderId="5" xfId="0" applyNumberFormat="1" applyFont="1" applyFill="1" applyBorder="1" applyAlignment="1">
      <alignment horizontal="right"/>
    </xf>
    <xf numFmtId="0" fontId="35" fillId="35" borderId="4" xfId="0" applyFont="1" applyFill="1" applyBorder="1" applyAlignment="1">
      <alignment horizontal="center" vertical="center" wrapText="1"/>
    </xf>
    <xf numFmtId="0" fontId="69" fillId="36" borderId="0" xfId="0" applyFont="1" applyFill="1"/>
    <xf numFmtId="0" fontId="69" fillId="36" borderId="4" xfId="0" applyFont="1" applyFill="1" applyBorder="1" applyAlignment="1">
      <alignment horizontal="center" vertical="center"/>
    </xf>
    <xf numFmtId="0" fontId="35" fillId="37" borderId="4" xfId="0" applyFont="1" applyFill="1" applyBorder="1" applyAlignment="1">
      <alignment horizontal="center" vertical="center"/>
    </xf>
    <xf numFmtId="0" fontId="35" fillId="36" borderId="4" xfId="0" applyFont="1" applyFill="1" applyBorder="1" applyAlignment="1">
      <alignment horizontal="center"/>
    </xf>
    <xf numFmtId="0" fontId="0" fillId="0" borderId="4" xfId="0" applyFont="1" applyBorder="1"/>
    <xf numFmtId="0" fontId="4" fillId="38" borderId="6" xfId="0" applyFont="1" applyFill="1" applyBorder="1" applyAlignment="1">
      <alignment horizontal="center"/>
    </xf>
    <xf numFmtId="0" fontId="4" fillId="38" borderId="4" xfId="0" applyFont="1" applyFill="1" applyBorder="1" applyAlignment="1">
      <alignment horizontal="center"/>
    </xf>
    <xf numFmtId="0" fontId="10" fillId="38" borderId="13" xfId="0" applyFont="1" applyFill="1" applyBorder="1" applyAlignment="1">
      <alignment horizontal="center"/>
    </xf>
    <xf numFmtId="10" fontId="34" fillId="38" borderId="12" xfId="0" applyNumberFormat="1" applyFont="1" applyFill="1" applyBorder="1"/>
    <xf numFmtId="0" fontId="35" fillId="39" borderId="4" xfId="0" applyFont="1" applyFill="1" applyBorder="1" applyAlignment="1">
      <alignment horizontal="center"/>
    </xf>
    <xf numFmtId="0" fontId="35" fillId="39" borderId="4" xfId="0" applyFont="1" applyFill="1" applyBorder="1"/>
    <xf numFmtId="171" fontId="35" fillId="39" borderId="4" xfId="0" applyNumberFormat="1" applyFont="1" applyFill="1" applyBorder="1"/>
    <xf numFmtId="171" fontId="35" fillId="39" borderId="4" xfId="0" applyNumberFormat="1" applyFont="1" applyFill="1" applyBorder="1" applyAlignment="1">
      <alignment horizontal="center"/>
    </xf>
    <xf numFmtId="0" fontId="35" fillId="39" borderId="4" xfId="0" applyFont="1" applyFill="1" applyBorder="1" applyAlignment="1">
      <alignment horizontal="center"/>
    </xf>
    <xf numFmtId="0" fontId="35" fillId="40" borderId="4" xfId="0" applyFont="1" applyFill="1" applyBorder="1"/>
    <xf numFmtId="0" fontId="40" fillId="39" borderId="4" xfId="0" applyFont="1" applyFill="1" applyBorder="1" applyAlignment="1">
      <alignment horizontal="center"/>
    </xf>
    <xf numFmtId="0" fontId="69" fillId="36" borderId="4" xfId="0" applyFont="1" applyFill="1" applyBorder="1"/>
    <xf numFmtId="0" fontId="35" fillId="39" borderId="4" xfId="0" applyFont="1" applyFill="1" applyBorder="1" applyAlignment="1">
      <alignment horizontal="center" vertical="center"/>
    </xf>
    <xf numFmtId="171" fontId="35" fillId="39" borderId="4" xfId="0" applyNumberFormat="1" applyFont="1" applyFill="1" applyBorder="1" applyAlignment="1">
      <alignment horizontal="center" vertical="center"/>
    </xf>
    <xf numFmtId="0" fontId="48" fillId="41" borderId="0" xfId="0" applyFont="1" applyFill="1" applyBorder="1" applyAlignment="1">
      <alignment horizontal="center" vertical="center"/>
    </xf>
    <xf numFmtId="0" fontId="49" fillId="41" borderId="4" xfId="0" applyFont="1" applyFill="1" applyBorder="1" applyAlignment="1">
      <alignment horizontal="center" vertical="center"/>
    </xf>
    <xf numFmtId="0" fontId="49" fillId="42" borderId="4" xfId="0" applyFont="1" applyFill="1" applyBorder="1" applyAlignment="1">
      <alignment horizontal="center" vertical="center"/>
    </xf>
    <xf numFmtId="0" fontId="49" fillId="43" borderId="4" xfId="0" applyFont="1" applyFill="1" applyBorder="1" applyAlignment="1">
      <alignment horizontal="center" vertical="center"/>
    </xf>
    <xf numFmtId="0" fontId="50" fillId="42" borderId="20" xfId="0" applyFont="1" applyFill="1" applyBorder="1" applyAlignment="1">
      <alignment horizontal="center" vertical="center" wrapText="1"/>
    </xf>
    <xf numFmtId="0" fontId="50" fillId="43" borderId="4" xfId="0" applyFont="1" applyFill="1" applyBorder="1" applyAlignment="1">
      <alignment horizontal="center" vertical="center" wrapText="1"/>
    </xf>
    <xf numFmtId="0" fontId="57" fillId="41" borderId="4" xfId="0" applyFont="1" applyFill="1" applyBorder="1" applyAlignment="1">
      <alignment horizontal="center" vertical="center"/>
    </xf>
    <xf numFmtId="0" fontId="50" fillId="41" borderId="4" xfId="0" applyFont="1" applyFill="1" applyBorder="1" applyAlignment="1">
      <alignment horizontal="center" vertical="center" wrapText="1"/>
    </xf>
    <xf numFmtId="0" fontId="50" fillId="42" borderId="4" xfId="0" applyFont="1" applyFill="1" applyBorder="1" applyAlignment="1">
      <alignment horizontal="center" vertical="center" wrapText="1"/>
    </xf>
    <xf numFmtId="0" fontId="50" fillId="44" borderId="4" xfId="0" applyFont="1" applyFill="1" applyBorder="1" applyAlignment="1">
      <alignment horizontal="center" vertical="center" wrapText="1"/>
    </xf>
    <xf numFmtId="0" fontId="35" fillId="39" borderId="0" xfId="0" applyFont="1" applyFill="1" applyAlignment="1">
      <alignment horizontal="center"/>
    </xf>
    <xf numFmtId="0" fontId="35" fillId="39" borderId="0" xfId="0" applyFont="1" applyFill="1"/>
    <xf numFmtId="0" fontId="35" fillId="45" borderId="4" xfId="0" applyFont="1" applyFill="1" applyBorder="1" applyAlignment="1">
      <alignment horizontal="center" vertical="center" wrapText="1"/>
    </xf>
    <xf numFmtId="0" fontId="25" fillId="32" borderId="4" xfId="0" applyFont="1" applyFill="1" applyBorder="1" applyAlignment="1">
      <alignment horizontal="center" vertical="center" wrapText="1"/>
    </xf>
    <xf numFmtId="0" fontId="0" fillId="24" borderId="4" xfId="0" applyFont="1" applyFill="1" applyBorder="1" applyAlignment="1">
      <alignment horizontal="center"/>
    </xf>
    <xf numFmtId="2" fontId="53" fillId="24" borderId="4" xfId="0" applyNumberFormat="1" applyFont="1" applyFill="1" applyBorder="1" applyAlignment="1">
      <alignment horizontal="center"/>
    </xf>
    <xf numFmtId="0" fontId="52" fillId="24" borderId="4" xfId="0" applyFont="1" applyFill="1" applyBorder="1" applyAlignment="1">
      <alignment horizontal="center"/>
    </xf>
    <xf numFmtId="0" fontId="35" fillId="46" borderId="4" xfId="0" applyFont="1" applyFill="1" applyBorder="1" applyAlignment="1">
      <alignment horizontal="right" vertical="center" wrapText="1"/>
    </xf>
    <xf numFmtId="0" fontId="35" fillId="46" borderId="4" xfId="0" applyFont="1" applyFill="1" applyBorder="1" applyAlignment="1">
      <alignment horizontal="center" vertical="center" wrapText="1"/>
    </xf>
    <xf numFmtId="0" fontId="25" fillId="32" borderId="4" xfId="0" applyFont="1" applyFill="1" applyBorder="1" applyAlignment="1">
      <alignment horizontal="right" vertical="center" wrapText="1"/>
    </xf>
    <xf numFmtId="3" fontId="52" fillId="47" borderId="4" xfId="0" applyNumberFormat="1" applyFont="1" applyFill="1" applyBorder="1" applyAlignment="1">
      <alignment horizontal="right" vertical="center" wrapText="1"/>
    </xf>
    <xf numFmtId="3" fontId="52" fillId="26" borderId="4" xfId="0" applyNumberFormat="1" applyFont="1" applyFill="1" applyBorder="1" applyAlignment="1">
      <alignment horizontal="right" vertical="center" wrapText="1"/>
    </xf>
    <xf numFmtId="10" fontId="0" fillId="32" borderId="4" xfId="0" applyNumberFormat="1" applyFill="1" applyBorder="1" applyAlignment="1">
      <alignment horizontal="center" vertical="center" wrapText="1"/>
    </xf>
    <xf numFmtId="182" fontId="0" fillId="32" borderId="4" xfId="0" applyNumberFormat="1" applyFill="1" applyBorder="1" applyAlignment="1">
      <alignment horizontal="center" vertical="center" wrapText="1"/>
    </xf>
    <xf numFmtId="9" fontId="0" fillId="32" borderId="4" xfId="0" applyNumberFormat="1" applyFill="1" applyBorder="1" applyAlignment="1">
      <alignment horizontal="center" vertical="center" wrapText="1"/>
    </xf>
    <xf numFmtId="0" fontId="66" fillId="31" borderId="0" xfId="0" applyFont="1" applyFill="1" applyBorder="1" applyAlignment="1">
      <alignment horizontal="left" vertical="center" wrapText="1"/>
    </xf>
    <xf numFmtId="0" fontId="60" fillId="48" borderId="0" xfId="0" applyFont="1" applyFill="1" applyBorder="1" applyAlignment="1">
      <alignment horizontal="center" vertical="center" wrapText="1"/>
    </xf>
    <xf numFmtId="0" fontId="61" fillId="22" borderId="0" xfId="0" applyFont="1" applyFill="1" applyBorder="1" applyAlignment="1">
      <alignment horizontal="left" vertical="center" wrapText="1"/>
    </xf>
    <xf numFmtId="0" fontId="63" fillId="21" borderId="0" xfId="0" applyFont="1" applyFill="1" applyBorder="1" applyAlignment="1">
      <alignment horizontal="center" vertical="center"/>
    </xf>
    <xf numFmtId="0" fontId="0" fillId="36" borderId="0" xfId="0" applyFill="1"/>
    <xf numFmtId="0" fontId="61" fillId="22" borderId="0" xfId="0" applyFont="1" applyFill="1" applyBorder="1" applyAlignment="1">
      <alignment horizontal="center" vertical="center" wrapText="1"/>
    </xf>
    <xf numFmtId="0" fontId="60" fillId="21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1F3864"/>
      <rgbColor rgb="FF555555"/>
      <rgbColor rgb="FF2E5395"/>
      <rgbColor rgb="FF0070C0"/>
      <rgbColor rgb="FFBFBFBF"/>
      <rgbColor rgb="FF777777"/>
      <rgbColor rgb="FFD9E1F2"/>
      <rgbColor rgb="FF7B3F00"/>
      <rgbColor rgb="FFFFF2CC"/>
      <rgbColor rgb="FFDDEBF7"/>
      <rgbColor rgb="FF2E5090"/>
      <rgbColor rgb="FFD9E3F3"/>
      <rgbColor rgb="FF0563C1"/>
      <rgbColor rgb="FFBDD7EE"/>
      <rgbColor rgb="FF1F3F5A"/>
      <rgbColor rgb="FFFF00FF"/>
      <rgbColor rgb="FFF8F8FC"/>
      <rgbColor rgb="FF00FFFF"/>
      <rgbColor rgb="FF1A5276"/>
      <rgbColor rgb="FF800000"/>
      <rgbColor rgb="FF2E5FA3"/>
      <rgbColor rgb="FF18507A"/>
      <rgbColor rgb="FF00CCFF"/>
      <rgbColor rgb="FFD5E8F5"/>
      <rgbColor rgb="FFDEEAF1"/>
      <rgbColor rgb="FFFFE699"/>
      <rgbColor rgb="FFD6E4F7"/>
      <rgbColor rgb="FFE0E0E0"/>
      <rgbColor rgb="FFD9D9D9"/>
      <rgbColor rgb="FFFBE5D6"/>
      <rgbColor rgb="FF3273B8"/>
      <rgbColor rgb="FFEBF3FB"/>
      <rgbColor rgb="FFEBF0FA"/>
      <rgbColor rgb="FFDCE6F1"/>
      <rgbColor rgb="FFE49C1D"/>
      <rgbColor rgb="FFC55A11"/>
      <rgbColor rgb="FF606F7B"/>
      <rgbColor rgb="FFA7A7A7"/>
      <rgbColor rgb="FF002060"/>
      <rgbColor rgb="FF1E5631"/>
      <rgbColor rgb="FF1A1A2E"/>
      <rgbColor rgb="FF22222F"/>
      <rgbColor rgb="FF843C0B"/>
      <rgbColor rgb="FF595959"/>
      <rgbColor rgb="FF243166"/>
      <rgbColor rgb="FF1D32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Forecasting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>
                    <a:lumMod val="102000"/>
                    <a:tint val="94000"/>
                  </a:schemeClr>
                </a:gs>
                <a:gs pos="50000">
                  <a:schemeClr val="accent1"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numRef>
              <c:f>Forecasting!$F$9:$F$13</c:f>
              <c:numCache>
                <c:formatCode>yyyy\E</c:formatCode>
                <c:ptCount val="5"/>
                <c:pt idx="0">
                  <c:v>46447</c:v>
                </c:pt>
                <c:pt idx="1">
                  <c:v>46813</c:v>
                </c:pt>
                <c:pt idx="2">
                  <c:v>47178</c:v>
                </c:pt>
                <c:pt idx="3">
                  <c:v>47543</c:v>
                </c:pt>
                <c:pt idx="4">
                  <c:v>47908</c:v>
                </c:pt>
              </c:numCache>
            </c:numRef>
          </c:cat>
          <c:val>
            <c:numRef>
              <c:f>Forecasting!$G$9:$G$13</c:f>
              <c:numCache>
                <c:formatCode>#,##0.00</c:formatCode>
                <c:ptCount val="5"/>
                <c:pt idx="0">
                  <c:v>319846.73300000001</c:v>
                </c:pt>
                <c:pt idx="1">
                  <c:v>352956.73399999994</c:v>
                </c:pt>
                <c:pt idx="2">
                  <c:v>386066.73499999999</c:v>
                </c:pt>
                <c:pt idx="3">
                  <c:v>419176.73599999992</c:v>
                </c:pt>
                <c:pt idx="4">
                  <c:v>452286.73699999996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A-4A41-8008-7EF7334B2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569992"/>
        <c:axId val="491574912"/>
      </c:barChart>
      <c:lineChart>
        <c:grouping val="standard"/>
        <c:varyColors val="0"/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Forecasting!$F$9:$F$13</c:f>
              <c:numCache>
                <c:formatCode>yyyy\E</c:formatCode>
                <c:ptCount val="5"/>
                <c:pt idx="0">
                  <c:v>46447</c:v>
                </c:pt>
                <c:pt idx="1">
                  <c:v>46813</c:v>
                </c:pt>
                <c:pt idx="2">
                  <c:v>47178</c:v>
                </c:pt>
                <c:pt idx="3">
                  <c:v>47543</c:v>
                </c:pt>
                <c:pt idx="4">
                  <c:v>47908</c:v>
                </c:pt>
              </c:numCache>
            </c:numRef>
          </c:cat>
          <c:val>
            <c:numRef>
              <c:f>Forecasting!$H$9:$H$13</c:f>
              <c:numCache>
                <c:formatCode>0.0%</c:formatCode>
                <c:ptCount val="5"/>
                <c:pt idx="0">
                  <c:v>0.11883672603587123</c:v>
                </c:pt>
                <c:pt idx="1">
                  <c:v>0.10351833420165005</c:v>
                </c:pt>
                <c:pt idx="2">
                  <c:v>9.3807534495148781E-2</c:v>
                </c:pt>
                <c:pt idx="3">
                  <c:v>8.5762377325774866E-2</c:v>
                </c:pt>
                <c:pt idx="4">
                  <c:v>7.8988164553101661E-2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4A-4A41-8008-7EF7334B2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1573272"/>
        <c:axId val="491571304"/>
      </c:lineChart>
      <c:dateAx>
        <c:axId val="491569992"/>
        <c:scaling>
          <c:orientation val="minMax"/>
        </c:scaling>
        <c:delete val="0"/>
        <c:axPos val="b"/>
        <c:numFmt formatCode="yyyy\E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574912"/>
        <c:crosses val="autoZero"/>
        <c:auto val="1"/>
        <c:lblOffset val="100"/>
        <c:baseTimeUnit val="years"/>
      </c:dateAx>
      <c:valAx>
        <c:axId val="49157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569992"/>
        <c:crosses val="autoZero"/>
        <c:crossBetween val="between"/>
      </c:valAx>
      <c:valAx>
        <c:axId val="491571304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573272"/>
        <c:crosses val="max"/>
        <c:crossBetween val="between"/>
      </c:valAx>
      <c:dateAx>
        <c:axId val="491573272"/>
        <c:scaling>
          <c:orientation val="minMax"/>
        </c:scaling>
        <c:delete val="1"/>
        <c:axPos val="b"/>
        <c:numFmt formatCode="yyyy\E" sourceLinked="1"/>
        <c:majorTickMark val="out"/>
        <c:minorTickMark val="none"/>
        <c:tickLblPos val="nextTo"/>
        <c:crossAx val="491571304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EBITDA</a:t>
            </a:r>
            <a:r>
              <a:rPr lang="en-IN" baseline="0"/>
              <a:t> Forecasting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>
                    <a:lumMod val="102000"/>
                    <a:tint val="94000"/>
                  </a:schemeClr>
                </a:gs>
                <a:gs pos="50000">
                  <a:schemeClr val="accent1"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numRef>
              <c:f>Forecasting!$K$9:$K$13</c:f>
              <c:numCache>
                <c:formatCode>yyyy\E</c:formatCode>
                <c:ptCount val="5"/>
                <c:pt idx="0">
                  <c:v>46447</c:v>
                </c:pt>
                <c:pt idx="1">
                  <c:v>46813</c:v>
                </c:pt>
                <c:pt idx="2">
                  <c:v>47178</c:v>
                </c:pt>
                <c:pt idx="3">
                  <c:v>47543</c:v>
                </c:pt>
                <c:pt idx="4">
                  <c:v>47908</c:v>
                </c:pt>
              </c:numCache>
            </c:numRef>
          </c:cat>
          <c:val>
            <c:numRef>
              <c:f>Forecasting!$L$9:$L$13</c:f>
              <c:numCache>
                <c:formatCode>#,##0.00</c:formatCode>
                <c:ptCount val="5"/>
                <c:pt idx="0">
                  <c:v>43773.847000000002</c:v>
                </c:pt>
                <c:pt idx="1">
                  <c:v>48746.114000000001</c:v>
                </c:pt>
                <c:pt idx="2">
                  <c:v>53718.381000000001</c:v>
                </c:pt>
                <c:pt idx="3">
                  <c:v>58690.648000000001</c:v>
                </c:pt>
                <c:pt idx="4">
                  <c:v>63662.915000000001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4-4B0F-9CD3-C02D40D17BD0}"/>
            </c:ext>
          </c:extLst>
        </c:ser>
        <c:ser>
          <c:idx val="1"/>
          <c:order val="1"/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numRef>
              <c:f>Forecasting!$K$9:$K$13</c:f>
              <c:numCache>
                <c:formatCode>yyyy\E</c:formatCode>
                <c:ptCount val="5"/>
                <c:pt idx="0">
                  <c:v>46447</c:v>
                </c:pt>
                <c:pt idx="1">
                  <c:v>46813</c:v>
                </c:pt>
                <c:pt idx="2">
                  <c:v>47178</c:v>
                </c:pt>
                <c:pt idx="3">
                  <c:v>47543</c:v>
                </c:pt>
                <c:pt idx="4">
                  <c:v>47908</c:v>
                </c:pt>
              </c:numCache>
            </c:numRef>
          </c:cat>
          <c:val>
            <c:numRef>
              <c:f>Forecasting!$M$9:$M$13</c:f>
              <c:numCache>
                <c:formatCode>0.0%</c:formatCode>
                <c:ptCount val="5"/>
                <c:pt idx="0">
                  <c:v>4.454339067596081E-2</c:v>
                </c:pt>
                <c:pt idx="1">
                  <c:v>0.11358990220804673</c:v>
                </c:pt>
                <c:pt idx="2">
                  <c:v>0.10200335148766936</c:v>
                </c:pt>
                <c:pt idx="3">
                  <c:v>9.2561743437502328E-2</c:v>
                </c:pt>
                <c:pt idx="4">
                  <c:v>8.471991994363394E-2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E4-4B0F-9CD3-C02D40D17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63663144"/>
        <c:axId val="563659536"/>
      </c:barChart>
      <c:dateAx>
        <c:axId val="563663144"/>
        <c:scaling>
          <c:orientation val="minMax"/>
        </c:scaling>
        <c:delete val="0"/>
        <c:axPos val="b"/>
        <c:numFmt formatCode="yyyy\E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659536"/>
        <c:crosses val="autoZero"/>
        <c:auto val="1"/>
        <c:lblOffset val="100"/>
        <c:baseTimeUnit val="years"/>
      </c:dateAx>
      <c:valAx>
        <c:axId val="56365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663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EPS Forecasting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>
                    <a:lumMod val="102000"/>
                    <a:tint val="94000"/>
                  </a:schemeClr>
                </a:gs>
                <a:gs pos="50000">
                  <a:schemeClr val="accent1"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numRef>
              <c:f>Forecasting!$P$9:$P$13</c:f>
              <c:numCache>
                <c:formatCode>yyyy\E</c:formatCode>
                <c:ptCount val="5"/>
                <c:pt idx="0">
                  <c:v>46447</c:v>
                </c:pt>
                <c:pt idx="1">
                  <c:v>46813</c:v>
                </c:pt>
                <c:pt idx="2">
                  <c:v>47178</c:v>
                </c:pt>
                <c:pt idx="3">
                  <c:v>47543</c:v>
                </c:pt>
                <c:pt idx="4">
                  <c:v>47908</c:v>
                </c:pt>
              </c:numCache>
            </c:numRef>
          </c:cat>
          <c:val>
            <c:numRef>
              <c:f>Forecasting!$Q$9:$Q$13</c:f>
              <c:numCache>
                <c:formatCode>#,##0.00</c:formatCode>
                <c:ptCount val="5"/>
                <c:pt idx="0">
                  <c:v>134.60000000000002</c:v>
                </c:pt>
                <c:pt idx="1">
                  <c:v>149</c:v>
                </c:pt>
                <c:pt idx="2">
                  <c:v>163.4</c:v>
                </c:pt>
                <c:pt idx="3">
                  <c:v>177.8</c:v>
                </c:pt>
                <c:pt idx="4">
                  <c:v>192.2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A-48DD-9FC1-51EE93326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23760"/>
        <c:axId val="562924744"/>
      </c:barChart>
      <c:lineChart>
        <c:grouping val="standard"/>
        <c:varyColors val="0"/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Forecasting!$P$9:$P$13</c:f>
              <c:numCache>
                <c:formatCode>yyyy\E</c:formatCode>
                <c:ptCount val="5"/>
                <c:pt idx="0">
                  <c:v>46447</c:v>
                </c:pt>
                <c:pt idx="1">
                  <c:v>46813</c:v>
                </c:pt>
                <c:pt idx="2">
                  <c:v>47178</c:v>
                </c:pt>
                <c:pt idx="3">
                  <c:v>47543</c:v>
                </c:pt>
                <c:pt idx="4">
                  <c:v>47908</c:v>
                </c:pt>
              </c:numCache>
            </c:numRef>
          </c:cat>
          <c:val>
            <c:numRef>
              <c:f>Forecasting!$R$9:$R$13</c:f>
              <c:numCache>
                <c:formatCode>0.0%</c:formatCode>
                <c:ptCount val="5"/>
                <c:pt idx="0">
                  <c:v>0.15042735042735061</c:v>
                </c:pt>
                <c:pt idx="1">
                  <c:v>0.10698365527488837</c:v>
                </c:pt>
                <c:pt idx="2">
                  <c:v>9.6644295302013461E-2</c:v>
                </c:pt>
                <c:pt idx="3">
                  <c:v>8.8127294981640181E-2</c:v>
                </c:pt>
                <c:pt idx="4">
                  <c:v>8.0989876265466679E-2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1A-48DD-9FC1-51EE93326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9129520"/>
        <c:axId val="569130832"/>
      </c:lineChart>
      <c:dateAx>
        <c:axId val="562923760"/>
        <c:scaling>
          <c:orientation val="minMax"/>
        </c:scaling>
        <c:delete val="0"/>
        <c:axPos val="b"/>
        <c:numFmt formatCode="yyyy\E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24744"/>
        <c:crosses val="autoZero"/>
        <c:auto val="1"/>
        <c:lblOffset val="100"/>
        <c:baseTimeUnit val="years"/>
      </c:dateAx>
      <c:valAx>
        <c:axId val="56292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23760"/>
        <c:crosses val="autoZero"/>
        <c:crossBetween val="between"/>
      </c:valAx>
      <c:valAx>
        <c:axId val="569130832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129520"/>
        <c:crosses val="max"/>
        <c:crossBetween val="between"/>
      </c:valAx>
      <c:dateAx>
        <c:axId val="569129520"/>
        <c:scaling>
          <c:orientation val="minMax"/>
        </c:scaling>
        <c:delete val="1"/>
        <c:axPos val="b"/>
        <c:numFmt formatCode="yyyy\E" sourceLinked="1"/>
        <c:majorTickMark val="out"/>
        <c:minorTickMark val="none"/>
        <c:tickLblPos val="nextTo"/>
        <c:crossAx val="569130832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487680</xdr:colOff>
      <xdr:row>16</xdr:row>
      <xdr:rowOff>3810</xdr:rowOff>
    </xdr:from>
    <xdr:to>
      <xdr:col>7</xdr:col>
      <xdr:colOff>807720</xdr:colOff>
      <xdr:row>31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8769A-4B30-4017-ACD9-9DA41979D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</xdr:colOff>
      <xdr:row>16</xdr:row>
      <xdr:rowOff>3810</xdr:rowOff>
    </xdr:from>
    <xdr:to>
      <xdr:col>14</xdr:col>
      <xdr:colOff>83820</xdr:colOff>
      <xdr:row>31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6DA954-22A9-4DBE-A732-73B80551B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91440</xdr:colOff>
      <xdr:row>16</xdr:row>
      <xdr:rowOff>3810</xdr:rowOff>
    </xdr:from>
    <xdr:to>
      <xdr:col>20</xdr:col>
      <xdr:colOff>579120</xdr:colOff>
      <xdr:row>31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63A9BF-48AD-4EC5-9306-FCD7DB867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16</xdr:col>
      <xdr:colOff>761760</xdr:colOff>
      <xdr:row>20</xdr:row>
      <xdr:rowOff>83880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362800" y="0"/>
          <a:ext cx="5459760" cy="5370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26</xdr:col>
      <xdr:colOff>7200</xdr:colOff>
      <xdr:row>20</xdr:row>
      <xdr:rowOff>106560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3843800" y="0"/>
          <a:ext cx="7053480" cy="5392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reener.in/company/NBCC/consolidated/" TargetMode="External"/><Relationship Id="rId2" Type="http://schemas.openxmlformats.org/officeDocument/2006/relationships/hyperlink" Target="https://www.screener.in/company/RVNL/consolidated/" TargetMode="External"/><Relationship Id="rId1" Type="http://schemas.openxmlformats.org/officeDocument/2006/relationships/hyperlink" Target="https://www.screener.in/company/LT/consolidated/" TargetMode="External"/><Relationship Id="rId5" Type="http://schemas.openxmlformats.org/officeDocument/2006/relationships/hyperlink" Target="https://www.screener.in/company/KPIL/consolidated/" TargetMode="External"/><Relationship Id="rId4" Type="http://schemas.openxmlformats.org/officeDocument/2006/relationships/hyperlink" Target="https://www.screener.in/company/IRB/consolidated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zoomScaleNormal="100" workbookViewId="0">
      <selection activeCell="I20" sqref="I20"/>
    </sheetView>
  </sheetViews>
  <sheetFormatPr defaultColWidth="8.6640625" defaultRowHeight="14.4" x14ac:dyDescent="0.3"/>
  <cols>
    <col min="1" max="1" width="16" customWidth="1"/>
    <col min="2" max="2" width="24" customWidth="1"/>
    <col min="3" max="3" width="18" customWidth="1"/>
    <col min="4" max="4" width="34" customWidth="1"/>
  </cols>
  <sheetData>
    <row r="1" spans="1:10" ht="22.8" x14ac:dyDescent="0.3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</row>
    <row r="3" spans="1:10" x14ac:dyDescent="0.3">
      <c r="A3" s="184" t="s">
        <v>1</v>
      </c>
      <c r="B3" s="184"/>
      <c r="C3" s="184"/>
      <c r="D3" s="184"/>
      <c r="E3" s="184"/>
      <c r="F3" s="184"/>
      <c r="G3" s="184"/>
      <c r="H3" s="184"/>
      <c r="I3" s="184"/>
      <c r="J3" s="184"/>
    </row>
    <row r="4" spans="1:10" x14ac:dyDescent="0.3">
      <c r="A4" s="184"/>
      <c r="B4" s="184"/>
      <c r="C4" s="184"/>
      <c r="D4" s="184"/>
      <c r="E4" s="184"/>
      <c r="F4" s="184"/>
      <c r="G4" s="184"/>
      <c r="H4" s="184"/>
      <c r="I4" s="184"/>
      <c r="J4" s="184"/>
    </row>
    <row r="5" spans="1:10" x14ac:dyDescent="0.3">
      <c r="A5" s="184"/>
      <c r="B5" s="184"/>
      <c r="C5" s="184"/>
      <c r="D5" s="184"/>
      <c r="E5" s="184"/>
      <c r="F5" s="184"/>
      <c r="G5" s="184"/>
      <c r="H5" s="184"/>
      <c r="I5" s="184"/>
      <c r="J5" s="184"/>
    </row>
    <row r="6" spans="1:10" x14ac:dyDescent="0.3">
      <c r="A6" s="184"/>
      <c r="B6" s="184"/>
      <c r="C6" s="184"/>
      <c r="D6" s="184"/>
      <c r="E6" s="184"/>
      <c r="F6" s="184"/>
      <c r="G6" s="184"/>
      <c r="H6" s="184"/>
      <c r="I6" s="184"/>
      <c r="J6" s="184"/>
    </row>
    <row r="7" spans="1:10" x14ac:dyDescent="0.3">
      <c r="A7" s="184"/>
      <c r="B7" s="184"/>
      <c r="C7" s="184"/>
      <c r="D7" s="184"/>
      <c r="E7" s="184"/>
      <c r="F7" s="184"/>
      <c r="G7" s="184"/>
      <c r="H7" s="184"/>
      <c r="I7" s="184"/>
      <c r="J7" s="184"/>
    </row>
    <row r="8" spans="1:10" x14ac:dyDescent="0.3">
      <c r="A8" s="184"/>
      <c r="B8" s="184"/>
      <c r="C8" s="184"/>
      <c r="D8" s="184"/>
      <c r="E8" s="184"/>
      <c r="F8" s="184"/>
      <c r="G8" s="184"/>
      <c r="H8" s="184"/>
      <c r="I8" s="184"/>
      <c r="J8" s="184"/>
    </row>
    <row r="9" spans="1:10" x14ac:dyDescent="0.3">
      <c r="A9" s="184"/>
      <c r="B9" s="184"/>
      <c r="C9" s="184"/>
      <c r="D9" s="184"/>
      <c r="E9" s="184"/>
      <c r="F9" s="184"/>
      <c r="G9" s="184"/>
      <c r="H9" s="184"/>
      <c r="I9" s="184"/>
      <c r="J9" s="184"/>
    </row>
    <row r="10" spans="1:10" x14ac:dyDescent="0.3">
      <c r="A10" s="184"/>
      <c r="B10" s="184"/>
      <c r="C10" s="184"/>
      <c r="D10" s="184"/>
      <c r="E10" s="184"/>
      <c r="F10" s="184"/>
      <c r="G10" s="184"/>
      <c r="H10" s="184"/>
      <c r="I10" s="184"/>
      <c r="J10" s="184"/>
    </row>
    <row r="11" spans="1:10" x14ac:dyDescent="0.3">
      <c r="A11" s="184"/>
      <c r="B11" s="184"/>
      <c r="C11" s="184"/>
      <c r="D11" s="184"/>
      <c r="E11" s="184"/>
      <c r="F11" s="184"/>
      <c r="G11" s="184"/>
      <c r="H11" s="184"/>
      <c r="I11" s="184"/>
      <c r="J11" s="184"/>
    </row>
    <row r="12" spans="1:10" x14ac:dyDescent="0.3">
      <c r="A12" s="184"/>
      <c r="B12" s="184"/>
      <c r="C12" s="184"/>
      <c r="D12" s="184"/>
      <c r="E12" s="184"/>
      <c r="F12" s="184"/>
      <c r="G12" s="184"/>
      <c r="H12" s="184"/>
      <c r="I12" s="184"/>
      <c r="J12" s="184"/>
    </row>
    <row r="13" spans="1:10" x14ac:dyDescent="0.3">
      <c r="A13" s="184"/>
      <c r="B13" s="184"/>
      <c r="C13" s="184"/>
      <c r="D13" s="184"/>
      <c r="E13" s="184"/>
      <c r="F13" s="184"/>
      <c r="G13" s="184"/>
      <c r="H13" s="184"/>
      <c r="I13" s="184"/>
      <c r="J13" s="184"/>
    </row>
    <row r="14" spans="1:10" x14ac:dyDescent="0.3">
      <c r="A14" s="184"/>
      <c r="B14" s="184"/>
      <c r="C14" s="184"/>
      <c r="D14" s="184"/>
      <c r="E14" s="184"/>
      <c r="F14" s="184"/>
      <c r="G14" s="184"/>
      <c r="H14" s="184"/>
      <c r="I14" s="184"/>
      <c r="J14" s="184"/>
    </row>
    <row r="15" spans="1:10" x14ac:dyDescent="0.3">
      <c r="A15" s="184"/>
      <c r="B15" s="184"/>
      <c r="C15" s="184"/>
      <c r="D15" s="184"/>
      <c r="E15" s="184"/>
      <c r="F15" s="184"/>
      <c r="G15" s="184"/>
      <c r="H15" s="184"/>
      <c r="I15" s="184"/>
      <c r="J15" s="184"/>
    </row>
    <row r="18" spans="1:4" x14ac:dyDescent="0.3">
      <c r="A18" s="185" t="s">
        <v>2</v>
      </c>
      <c r="B18" s="185"/>
    </row>
    <row r="19" spans="1:4" x14ac:dyDescent="0.3">
      <c r="A19" s="1" t="s">
        <v>3</v>
      </c>
      <c r="B19" s="1" t="s">
        <v>4</v>
      </c>
      <c r="C19" s="1" t="s">
        <v>5</v>
      </c>
      <c r="D19" s="1" t="s">
        <v>6</v>
      </c>
    </row>
    <row r="20" spans="1:4" ht="26.4" x14ac:dyDescent="0.3">
      <c r="A20" s="2">
        <v>1</v>
      </c>
      <c r="B20" s="2" t="s">
        <v>7</v>
      </c>
      <c r="C20" s="2" t="s">
        <v>8</v>
      </c>
      <c r="D20" s="2" t="s">
        <v>9</v>
      </c>
    </row>
    <row r="21" spans="1:4" ht="39.6" x14ac:dyDescent="0.3">
      <c r="A21" s="2">
        <v>2</v>
      </c>
      <c r="B21" s="2" t="s">
        <v>10</v>
      </c>
      <c r="C21" s="2" t="s">
        <v>11</v>
      </c>
      <c r="D21" s="2" t="s">
        <v>12</v>
      </c>
    </row>
    <row r="22" spans="1:4" ht="39.6" x14ac:dyDescent="0.3">
      <c r="A22" s="2">
        <v>3</v>
      </c>
      <c r="B22" s="2" t="s">
        <v>13</v>
      </c>
      <c r="C22" s="2" t="s">
        <v>14</v>
      </c>
      <c r="D22" s="2" t="s">
        <v>15</v>
      </c>
    </row>
    <row r="23" spans="1:4" ht="66" x14ac:dyDescent="0.3">
      <c r="A23" s="2">
        <v>4</v>
      </c>
      <c r="B23" s="2" t="s">
        <v>16</v>
      </c>
      <c r="C23" s="2" t="s">
        <v>17</v>
      </c>
      <c r="D23" s="2" t="s">
        <v>18</v>
      </c>
    </row>
    <row r="24" spans="1:4" ht="66" x14ac:dyDescent="0.3">
      <c r="A24" s="2">
        <v>5</v>
      </c>
      <c r="B24" s="2" t="s">
        <v>19</v>
      </c>
      <c r="C24" s="2" t="s">
        <v>17</v>
      </c>
      <c r="D24" s="2" t="s">
        <v>20</v>
      </c>
    </row>
    <row r="25" spans="1:4" ht="39.6" x14ac:dyDescent="0.3">
      <c r="A25" s="2">
        <v>6</v>
      </c>
      <c r="B25" s="2" t="s">
        <v>21</v>
      </c>
      <c r="C25" s="2" t="s">
        <v>17</v>
      </c>
      <c r="D25" s="2" t="s">
        <v>22</v>
      </c>
    </row>
    <row r="26" spans="1:4" ht="39.6" x14ac:dyDescent="0.3">
      <c r="A26" s="2">
        <v>7</v>
      </c>
      <c r="B26" s="2" t="s">
        <v>23</v>
      </c>
      <c r="C26" s="2" t="s">
        <v>17</v>
      </c>
      <c r="D26" s="2" t="s">
        <v>24</v>
      </c>
    </row>
    <row r="27" spans="1:4" ht="39.6" x14ac:dyDescent="0.3">
      <c r="A27" s="2">
        <v>8</v>
      </c>
      <c r="B27" s="2" t="s">
        <v>25</v>
      </c>
      <c r="C27" s="2" t="s">
        <v>17</v>
      </c>
      <c r="D27" s="2" t="s">
        <v>26</v>
      </c>
    </row>
    <row r="28" spans="1:4" ht="52.8" x14ac:dyDescent="0.3">
      <c r="A28" s="2">
        <v>9</v>
      </c>
      <c r="B28" s="2" t="s">
        <v>27</v>
      </c>
      <c r="C28" s="2" t="s">
        <v>28</v>
      </c>
      <c r="D28" s="2" t="s">
        <v>29</v>
      </c>
    </row>
    <row r="29" spans="1:4" ht="52.8" x14ac:dyDescent="0.3">
      <c r="A29" s="2">
        <v>10</v>
      </c>
      <c r="B29" s="2" t="s">
        <v>30</v>
      </c>
      <c r="C29" s="2" t="s">
        <v>28</v>
      </c>
      <c r="D29" s="2" t="s">
        <v>31</v>
      </c>
    </row>
    <row r="30" spans="1:4" ht="52.8" x14ac:dyDescent="0.3">
      <c r="A30" s="186" t="s">
        <v>32</v>
      </c>
      <c r="B30" s="186"/>
      <c r="C30" s="3" t="s">
        <v>33</v>
      </c>
    </row>
    <row r="32" spans="1:4" x14ac:dyDescent="0.3">
      <c r="A32" s="250" t="s">
        <v>34</v>
      </c>
      <c r="B32" s="250"/>
      <c r="C32" s="250"/>
      <c r="D32" s="250"/>
    </row>
    <row r="33" spans="1:4" x14ac:dyDescent="0.3">
      <c r="A33" s="187" t="s">
        <v>35</v>
      </c>
      <c r="B33" s="187"/>
    </row>
    <row r="34" spans="1:4" x14ac:dyDescent="0.3">
      <c r="A34" s="187" t="s">
        <v>36</v>
      </c>
      <c r="B34" s="187"/>
    </row>
    <row r="35" spans="1:4" x14ac:dyDescent="0.3">
      <c r="A35" s="187" t="s">
        <v>37</v>
      </c>
      <c r="B35" s="187"/>
    </row>
    <row r="37" spans="1:4" x14ac:dyDescent="0.3">
      <c r="A37" s="185" t="s">
        <v>38</v>
      </c>
      <c r="B37" s="185"/>
      <c r="C37" s="185"/>
      <c r="D37" s="185"/>
    </row>
    <row r="38" spans="1:4" x14ac:dyDescent="0.3">
      <c r="A38" s="1" t="s">
        <v>39</v>
      </c>
      <c r="B38" s="1" t="s">
        <v>40</v>
      </c>
      <c r="C38" s="1" t="s">
        <v>41</v>
      </c>
      <c r="D38" s="1" t="s">
        <v>42</v>
      </c>
    </row>
    <row r="39" spans="1:4" ht="39.6" x14ac:dyDescent="0.3">
      <c r="A39" s="2" t="s">
        <v>43</v>
      </c>
      <c r="B39" s="2" t="s">
        <v>44</v>
      </c>
      <c r="C39" s="2" t="s">
        <v>45</v>
      </c>
      <c r="D39" s="2" t="s">
        <v>46</v>
      </c>
    </row>
    <row r="40" spans="1:4" ht="26.4" x14ac:dyDescent="0.3">
      <c r="A40" s="2" t="s">
        <v>43</v>
      </c>
      <c r="B40" s="2" t="s">
        <v>47</v>
      </c>
      <c r="C40" s="2" t="s">
        <v>48</v>
      </c>
      <c r="D40" s="2" t="s">
        <v>49</v>
      </c>
    </row>
    <row r="41" spans="1:4" ht="26.4" x14ac:dyDescent="0.3">
      <c r="A41" s="2" t="s">
        <v>43</v>
      </c>
      <c r="B41" s="2" t="s">
        <v>50</v>
      </c>
      <c r="C41" s="2" t="s">
        <v>51</v>
      </c>
      <c r="D41" s="2" t="s">
        <v>52</v>
      </c>
    </row>
    <row r="42" spans="1:4" x14ac:dyDescent="0.3">
      <c r="A42" s="2" t="s">
        <v>43</v>
      </c>
      <c r="B42" s="2" t="s">
        <v>53</v>
      </c>
      <c r="C42" s="2" t="s">
        <v>54</v>
      </c>
      <c r="D42" s="2" t="s">
        <v>55</v>
      </c>
    </row>
    <row r="43" spans="1:4" ht="26.4" x14ac:dyDescent="0.3">
      <c r="A43" s="2" t="s">
        <v>43</v>
      </c>
      <c r="B43" s="2" t="s">
        <v>56</v>
      </c>
      <c r="C43" s="2" t="s">
        <v>57</v>
      </c>
      <c r="D43" s="2" t="s">
        <v>58</v>
      </c>
    </row>
    <row r="44" spans="1:4" ht="26.4" x14ac:dyDescent="0.3">
      <c r="A44" s="2" t="s">
        <v>43</v>
      </c>
      <c r="B44" s="2" t="s">
        <v>59</v>
      </c>
      <c r="C44" s="2" t="s">
        <v>60</v>
      </c>
      <c r="D44" s="2" t="s">
        <v>61</v>
      </c>
    </row>
    <row r="45" spans="1:4" x14ac:dyDescent="0.3">
      <c r="A45" s="2" t="s">
        <v>43</v>
      </c>
      <c r="B45" s="2" t="s">
        <v>62</v>
      </c>
      <c r="C45" s="2" t="s">
        <v>63</v>
      </c>
      <c r="D45" s="2" t="s">
        <v>64</v>
      </c>
    </row>
    <row r="46" spans="1:4" ht="39.6" x14ac:dyDescent="0.3">
      <c r="A46" s="2" t="s">
        <v>43</v>
      </c>
      <c r="B46" s="2" t="s">
        <v>65</v>
      </c>
      <c r="C46" s="2" t="s">
        <v>66</v>
      </c>
      <c r="D46" s="2" t="s">
        <v>67</v>
      </c>
    </row>
    <row r="47" spans="1:4" ht="26.4" x14ac:dyDescent="0.3">
      <c r="A47" s="2" t="s">
        <v>43</v>
      </c>
      <c r="B47" s="2" t="s">
        <v>68</v>
      </c>
      <c r="C47" s="2" t="s">
        <v>69</v>
      </c>
      <c r="D47" s="2" t="s">
        <v>70</v>
      </c>
    </row>
    <row r="48" spans="1:4" ht="26.4" x14ac:dyDescent="0.3">
      <c r="A48" s="2" t="s">
        <v>43</v>
      </c>
      <c r="B48" s="2" t="s">
        <v>71</v>
      </c>
      <c r="C48" s="2" t="s">
        <v>72</v>
      </c>
      <c r="D48" s="2" t="s">
        <v>73</v>
      </c>
    </row>
    <row r="49" spans="1:4" x14ac:dyDescent="0.3">
      <c r="A49" s="2" t="s">
        <v>43</v>
      </c>
      <c r="B49" s="2" t="s">
        <v>74</v>
      </c>
      <c r="C49" s="2" t="s">
        <v>75</v>
      </c>
      <c r="D49" s="2" t="s">
        <v>76</v>
      </c>
    </row>
    <row r="50" spans="1:4" ht="26.4" x14ac:dyDescent="0.3">
      <c r="A50" s="2" t="s">
        <v>43</v>
      </c>
      <c r="B50" s="2" t="s">
        <v>77</v>
      </c>
      <c r="C50" s="2" t="s">
        <v>78</v>
      </c>
      <c r="D50" s="2" t="s">
        <v>79</v>
      </c>
    </row>
    <row r="53" spans="1:4" x14ac:dyDescent="0.3">
      <c r="A53" s="185" t="s">
        <v>80</v>
      </c>
      <c r="B53" s="185"/>
      <c r="C53" s="185"/>
      <c r="D53" s="185"/>
    </row>
    <row r="54" spans="1:4" x14ac:dyDescent="0.3">
      <c r="A54" s="188" t="s">
        <v>81</v>
      </c>
      <c r="B54" s="188"/>
      <c r="C54" s="188" t="s">
        <v>82</v>
      </c>
      <c r="D54" s="188"/>
    </row>
    <row r="55" spans="1:4" x14ac:dyDescent="0.3">
      <c r="A55" s="187" t="s">
        <v>83</v>
      </c>
      <c r="B55" s="187"/>
      <c r="C55" s="187" t="s">
        <v>84</v>
      </c>
      <c r="D55" s="187"/>
    </row>
    <row r="56" spans="1:4" x14ac:dyDescent="0.3">
      <c r="A56" s="187" t="s">
        <v>85</v>
      </c>
      <c r="B56" s="187"/>
      <c r="C56" s="187" t="s">
        <v>86</v>
      </c>
      <c r="D56" s="187"/>
    </row>
    <row r="57" spans="1:4" x14ac:dyDescent="0.3">
      <c r="A57" s="187" t="s">
        <v>87</v>
      </c>
      <c r="B57" s="187"/>
      <c r="C57" s="187" t="s">
        <v>88</v>
      </c>
      <c r="D57" s="187"/>
    </row>
    <row r="58" spans="1:4" x14ac:dyDescent="0.3">
      <c r="A58" s="187" t="s">
        <v>89</v>
      </c>
      <c r="B58" s="187"/>
      <c r="C58" s="187" t="s">
        <v>90</v>
      </c>
      <c r="D58" s="187"/>
    </row>
    <row r="59" spans="1:4" x14ac:dyDescent="0.3">
      <c r="A59" s="187" t="s">
        <v>91</v>
      </c>
      <c r="B59" s="187"/>
      <c r="C59" s="187" t="s">
        <v>92</v>
      </c>
      <c r="D59" s="187"/>
    </row>
    <row r="60" spans="1:4" x14ac:dyDescent="0.3">
      <c r="A60" s="187" t="s">
        <v>93</v>
      </c>
      <c r="B60" s="187"/>
      <c r="C60" s="187" t="s">
        <v>94</v>
      </c>
      <c r="D60" s="187"/>
    </row>
    <row r="61" spans="1:4" x14ac:dyDescent="0.3">
      <c r="A61" s="187" t="s">
        <v>95</v>
      </c>
      <c r="B61" s="187"/>
      <c r="C61" s="187" t="s">
        <v>96</v>
      </c>
      <c r="D61" s="187"/>
    </row>
    <row r="62" spans="1:4" x14ac:dyDescent="0.3">
      <c r="A62" s="187" t="s">
        <v>97</v>
      </c>
      <c r="B62" s="187"/>
      <c r="C62" s="187" t="s">
        <v>96</v>
      </c>
      <c r="D62" s="187"/>
    </row>
    <row r="63" spans="1:4" x14ac:dyDescent="0.3">
      <c r="A63" s="187" t="s">
        <v>98</v>
      </c>
      <c r="B63" s="187"/>
      <c r="C63" s="187" t="s">
        <v>96</v>
      </c>
      <c r="D63" s="187"/>
    </row>
    <row r="64" spans="1:4" x14ac:dyDescent="0.3">
      <c r="A64" s="187" t="s">
        <v>99</v>
      </c>
      <c r="B64" s="187"/>
      <c r="C64" s="187" t="s">
        <v>96</v>
      </c>
      <c r="D64" s="187"/>
    </row>
    <row r="65" spans="1:4" x14ac:dyDescent="0.3">
      <c r="A65" s="187" t="s">
        <v>100</v>
      </c>
      <c r="B65" s="187"/>
      <c r="C65" s="187" t="s">
        <v>96</v>
      </c>
      <c r="D65" s="187"/>
    </row>
    <row r="66" spans="1:4" x14ac:dyDescent="0.3">
      <c r="A66" s="187" t="s">
        <v>101</v>
      </c>
      <c r="B66" s="187"/>
      <c r="C66" s="187" t="s">
        <v>96</v>
      </c>
      <c r="D66" s="187"/>
    </row>
    <row r="67" spans="1:4" x14ac:dyDescent="0.3">
      <c r="A67" s="187" t="s">
        <v>102</v>
      </c>
      <c r="B67" s="187"/>
      <c r="C67" s="187" t="s">
        <v>96</v>
      </c>
      <c r="D67" s="187"/>
    </row>
    <row r="68" spans="1:4" x14ac:dyDescent="0.3">
      <c r="A68" s="187" t="s">
        <v>103</v>
      </c>
      <c r="B68" s="187"/>
      <c r="C68" s="187" t="s">
        <v>96</v>
      </c>
      <c r="D68" s="187"/>
    </row>
    <row r="69" spans="1:4" x14ac:dyDescent="0.3">
      <c r="A69" s="187" t="s">
        <v>104</v>
      </c>
      <c r="B69" s="187"/>
      <c r="C69" s="187" t="s">
        <v>105</v>
      </c>
      <c r="D69" s="187"/>
    </row>
    <row r="70" spans="1:4" x14ac:dyDescent="0.3">
      <c r="A70" s="187" t="s">
        <v>106</v>
      </c>
      <c r="B70" s="187"/>
      <c r="C70" s="187" t="s">
        <v>96</v>
      </c>
      <c r="D70" s="187"/>
    </row>
    <row r="71" spans="1:4" x14ac:dyDescent="0.3">
      <c r="A71" s="187" t="s">
        <v>107</v>
      </c>
      <c r="B71" s="187"/>
      <c r="C71" s="187" t="s">
        <v>96</v>
      </c>
      <c r="D71" s="187"/>
    </row>
    <row r="72" spans="1:4" x14ac:dyDescent="0.3">
      <c r="A72" s="187" t="s">
        <v>108</v>
      </c>
      <c r="B72" s="187"/>
      <c r="C72" s="187" t="s">
        <v>109</v>
      </c>
      <c r="D72" s="187"/>
    </row>
  </sheetData>
  <mergeCells count="48">
    <mergeCell ref="A72:B72"/>
    <mergeCell ref="C72:D72"/>
    <mergeCell ref="A69:B69"/>
    <mergeCell ref="C69:D69"/>
    <mergeCell ref="A70:B70"/>
    <mergeCell ref="C70:D70"/>
    <mergeCell ref="A71:B71"/>
    <mergeCell ref="C71:D71"/>
    <mergeCell ref="A66:B66"/>
    <mergeCell ref="C66:D66"/>
    <mergeCell ref="A67:B67"/>
    <mergeCell ref="C67:D67"/>
    <mergeCell ref="A68:B68"/>
    <mergeCell ref="C68:D68"/>
    <mergeCell ref="A63:B63"/>
    <mergeCell ref="C63:D63"/>
    <mergeCell ref="A64:B64"/>
    <mergeCell ref="C64:D64"/>
    <mergeCell ref="A65:B65"/>
    <mergeCell ref="C65:D65"/>
    <mergeCell ref="A60:B60"/>
    <mergeCell ref="C60:D60"/>
    <mergeCell ref="A61:B61"/>
    <mergeCell ref="C61:D61"/>
    <mergeCell ref="A62:B62"/>
    <mergeCell ref="C62:D62"/>
    <mergeCell ref="A57:B57"/>
    <mergeCell ref="C57:D57"/>
    <mergeCell ref="A58:B58"/>
    <mergeCell ref="C58:D58"/>
    <mergeCell ref="A59:B59"/>
    <mergeCell ref="C59:D59"/>
    <mergeCell ref="A54:B54"/>
    <mergeCell ref="C54:D54"/>
    <mergeCell ref="A55:B55"/>
    <mergeCell ref="C55:D55"/>
    <mergeCell ref="A56:B56"/>
    <mergeCell ref="C56:D56"/>
    <mergeCell ref="A33:B33"/>
    <mergeCell ref="A34:B34"/>
    <mergeCell ref="A35:B35"/>
    <mergeCell ref="A37:D37"/>
    <mergeCell ref="A53:D53"/>
    <mergeCell ref="A1:J1"/>
    <mergeCell ref="A3:J15"/>
    <mergeCell ref="A18:B18"/>
    <mergeCell ref="A30:B30"/>
    <mergeCell ref="A32:D3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topLeftCell="A9" zoomScaleNormal="100" workbookViewId="0">
      <selection activeCell="A10" sqref="A10:F10"/>
    </sheetView>
  </sheetViews>
  <sheetFormatPr defaultColWidth="8.6640625" defaultRowHeight="14.4" x14ac:dyDescent="0.3"/>
  <cols>
    <col min="1" max="1" width="13.109375" customWidth="1"/>
    <col min="2" max="2" width="39.44140625" customWidth="1"/>
    <col min="3" max="3" width="21.77734375" customWidth="1"/>
    <col min="4" max="4" width="17.5546875" customWidth="1"/>
    <col min="5" max="5" width="12.88671875" customWidth="1"/>
    <col min="6" max="6" width="15.6640625" customWidth="1"/>
  </cols>
  <sheetData>
    <row r="1" spans="1:6" ht="39.75" customHeight="1" x14ac:dyDescent="0.3">
      <c r="A1" s="239" t="s">
        <v>110</v>
      </c>
      <c r="B1" s="239"/>
      <c r="C1" s="239"/>
      <c r="D1" s="239"/>
      <c r="E1" s="239"/>
      <c r="F1" s="239"/>
    </row>
    <row r="2" spans="1:6" ht="39.75" customHeight="1" x14ac:dyDescent="0.3">
      <c r="A2" s="189" t="s">
        <v>111</v>
      </c>
      <c r="B2" s="189"/>
      <c r="C2" s="189"/>
      <c r="D2" s="189"/>
      <c r="E2" s="189"/>
      <c r="F2" s="189"/>
    </row>
    <row r="3" spans="1:6" ht="39.75" customHeight="1" x14ac:dyDescent="0.3">
      <c r="A3" s="246" t="s">
        <v>112</v>
      </c>
      <c r="B3" s="246"/>
      <c r="C3" s="246"/>
      <c r="D3" s="246"/>
      <c r="E3" s="246"/>
      <c r="F3" s="246"/>
    </row>
    <row r="4" spans="1:6" ht="39.75" customHeight="1" x14ac:dyDescent="0.3">
      <c r="A4" s="246"/>
      <c r="B4" s="246"/>
      <c r="C4" s="246"/>
      <c r="D4" s="246"/>
      <c r="E4" s="246"/>
      <c r="F4" s="246"/>
    </row>
    <row r="5" spans="1:6" ht="39.75" hidden="1" customHeight="1" x14ac:dyDescent="0.3">
      <c r="A5" s="246"/>
      <c r="B5" s="246"/>
      <c r="C5" s="246"/>
      <c r="D5" s="246"/>
      <c r="E5" s="246"/>
      <c r="F5" s="246"/>
    </row>
    <row r="6" spans="1:6" ht="39.75" customHeight="1" x14ac:dyDescent="0.3">
      <c r="A6" s="240" t="s">
        <v>113</v>
      </c>
      <c r="B6" s="240"/>
      <c r="C6" s="240"/>
      <c r="D6" s="240"/>
      <c r="E6" s="240"/>
      <c r="F6" s="240"/>
    </row>
    <row r="7" spans="1:6" ht="39.75" customHeight="1" x14ac:dyDescent="0.3">
      <c r="A7" s="241" t="s">
        <v>114</v>
      </c>
      <c r="B7" s="241" t="s">
        <v>115</v>
      </c>
      <c r="C7" s="241" t="s">
        <v>116</v>
      </c>
      <c r="D7" s="241" t="s">
        <v>117</v>
      </c>
      <c r="E7" s="241" t="s">
        <v>118</v>
      </c>
      <c r="F7" s="241" t="s">
        <v>119</v>
      </c>
    </row>
    <row r="8" spans="1:6" ht="39.75" customHeight="1" x14ac:dyDescent="0.3">
      <c r="A8" s="242" t="s">
        <v>120</v>
      </c>
      <c r="B8" s="242"/>
      <c r="C8" s="242"/>
      <c r="D8" s="242"/>
      <c r="E8" s="242"/>
      <c r="F8" s="242"/>
    </row>
    <row r="9" spans="1:6" ht="39.75" customHeight="1" x14ac:dyDescent="0.3">
      <c r="A9" s="5" t="s">
        <v>121</v>
      </c>
      <c r="B9" s="190" t="s">
        <v>122</v>
      </c>
      <c r="C9" s="190"/>
      <c r="D9" s="5" t="s">
        <v>121</v>
      </c>
      <c r="E9" s="5" t="s">
        <v>121</v>
      </c>
      <c r="F9" s="5" t="s">
        <v>121</v>
      </c>
    </row>
    <row r="10" spans="1:6" ht="39.75" customHeight="1" x14ac:dyDescent="0.3">
      <c r="A10" s="247" t="s">
        <v>123</v>
      </c>
      <c r="B10" s="247"/>
      <c r="C10" s="247"/>
      <c r="D10" s="248" t="s">
        <v>121</v>
      </c>
      <c r="E10" s="248" t="s">
        <v>121</v>
      </c>
      <c r="F10" s="248" t="s">
        <v>121</v>
      </c>
    </row>
    <row r="11" spans="1:6" ht="39.75" customHeight="1" x14ac:dyDescent="0.3">
      <c r="A11" s="242" t="s">
        <v>124</v>
      </c>
      <c r="B11" s="242"/>
      <c r="C11" s="242"/>
      <c r="D11" s="242"/>
      <c r="E11" s="242"/>
      <c r="F11" s="242"/>
    </row>
    <row r="12" spans="1:6" ht="39.75" customHeight="1" x14ac:dyDescent="0.3">
      <c r="A12" s="5" t="s">
        <v>121</v>
      </c>
      <c r="B12" s="190" t="s">
        <v>125</v>
      </c>
      <c r="C12" s="190"/>
      <c r="D12" s="5" t="s">
        <v>121</v>
      </c>
      <c r="E12" s="5" t="s">
        <v>121</v>
      </c>
      <c r="F12" s="5" t="s">
        <v>121</v>
      </c>
    </row>
    <row r="13" spans="1:6" ht="39.75" customHeight="1" x14ac:dyDescent="0.3">
      <c r="A13" s="243" t="s">
        <v>126</v>
      </c>
      <c r="B13" s="243"/>
      <c r="C13" s="243"/>
      <c r="D13" s="244" t="s">
        <v>127</v>
      </c>
      <c r="E13" s="244" t="s">
        <v>127</v>
      </c>
      <c r="F13" s="244" t="s">
        <v>127</v>
      </c>
    </row>
    <row r="15" spans="1:6" ht="39.75" customHeight="1" x14ac:dyDescent="0.3">
      <c r="A15" s="240" t="s">
        <v>128</v>
      </c>
      <c r="B15" s="240"/>
      <c r="C15" s="240"/>
      <c r="D15" s="240"/>
      <c r="E15" s="240"/>
      <c r="F15" s="240"/>
    </row>
    <row r="16" spans="1:6" ht="39.75" customHeight="1" x14ac:dyDescent="0.3">
      <c r="A16" s="4" t="s">
        <v>114</v>
      </c>
      <c r="B16" s="4" t="s">
        <v>129</v>
      </c>
      <c r="C16" s="4" t="s">
        <v>116</v>
      </c>
      <c r="D16" s="4" t="s">
        <v>118</v>
      </c>
      <c r="E16" s="4" t="s">
        <v>130</v>
      </c>
      <c r="F16" s="4" t="s">
        <v>131</v>
      </c>
    </row>
    <row r="17" spans="1:6" ht="39.75" customHeight="1" x14ac:dyDescent="0.3">
      <c r="A17" s="5">
        <v>1</v>
      </c>
      <c r="B17" s="6" t="s">
        <v>132</v>
      </c>
      <c r="C17" s="6" t="s">
        <v>133</v>
      </c>
      <c r="D17" s="7" t="s">
        <v>134</v>
      </c>
      <c r="E17" s="5" t="s">
        <v>135</v>
      </c>
      <c r="F17" s="5" t="s">
        <v>136</v>
      </c>
    </row>
    <row r="18" spans="1:6" ht="39.75" customHeight="1" x14ac:dyDescent="0.3">
      <c r="A18" s="5">
        <v>2</v>
      </c>
      <c r="B18" s="6" t="s">
        <v>137</v>
      </c>
      <c r="C18" s="6" t="s">
        <v>138</v>
      </c>
      <c r="D18" s="7" t="s">
        <v>139</v>
      </c>
      <c r="E18" s="5" t="s">
        <v>140</v>
      </c>
      <c r="F18" s="5" t="s">
        <v>141</v>
      </c>
    </row>
    <row r="19" spans="1:6" ht="39.75" customHeight="1" x14ac:dyDescent="0.3">
      <c r="A19" s="5">
        <v>3</v>
      </c>
      <c r="B19" s="6" t="s">
        <v>142</v>
      </c>
      <c r="C19" s="6" t="s">
        <v>143</v>
      </c>
      <c r="D19" s="7" t="s">
        <v>144</v>
      </c>
      <c r="E19" s="5" t="s">
        <v>145</v>
      </c>
      <c r="F19" s="5" t="s">
        <v>146</v>
      </c>
    </row>
    <row r="20" spans="1:6" ht="39.75" customHeight="1" x14ac:dyDescent="0.3">
      <c r="A20" s="5">
        <v>4</v>
      </c>
      <c r="B20" s="6" t="s">
        <v>147</v>
      </c>
      <c r="C20" s="6" t="s">
        <v>143</v>
      </c>
      <c r="D20" s="7" t="s">
        <v>148</v>
      </c>
      <c r="E20" s="5" t="s">
        <v>149</v>
      </c>
      <c r="F20" s="5" t="s">
        <v>146</v>
      </c>
    </row>
    <row r="21" spans="1:6" ht="39.75" customHeight="1" x14ac:dyDescent="0.3">
      <c r="A21" s="5">
        <v>5</v>
      </c>
      <c r="B21" s="6" t="s">
        <v>150</v>
      </c>
      <c r="C21" s="6" t="s">
        <v>151</v>
      </c>
      <c r="D21" s="7" t="s">
        <v>152</v>
      </c>
      <c r="E21" s="5" t="s">
        <v>153</v>
      </c>
      <c r="F21" s="5" t="s">
        <v>146</v>
      </c>
    </row>
    <row r="22" spans="1:6" ht="39.75" customHeight="1" x14ac:dyDescent="0.3">
      <c r="A22" s="5">
        <v>6</v>
      </c>
      <c r="B22" s="6" t="s">
        <v>154</v>
      </c>
      <c r="C22" s="6" t="s">
        <v>143</v>
      </c>
      <c r="D22" s="7" t="s">
        <v>155</v>
      </c>
      <c r="E22" s="5" t="s">
        <v>156</v>
      </c>
      <c r="F22" s="5" t="s">
        <v>146</v>
      </c>
    </row>
    <row r="23" spans="1:6" ht="39.75" customHeight="1" x14ac:dyDescent="0.3">
      <c r="A23" s="5">
        <v>7</v>
      </c>
      <c r="B23" s="6" t="s">
        <v>157</v>
      </c>
      <c r="C23" s="6" t="s">
        <v>158</v>
      </c>
      <c r="D23" s="7" t="s">
        <v>159</v>
      </c>
      <c r="E23" s="5" t="s">
        <v>160</v>
      </c>
      <c r="F23" s="5" t="s">
        <v>146</v>
      </c>
    </row>
    <row r="24" spans="1:6" ht="39.75" customHeight="1" x14ac:dyDescent="0.3">
      <c r="A24" s="5">
        <v>8</v>
      </c>
      <c r="B24" s="6" t="s">
        <v>161</v>
      </c>
      <c r="C24" s="6" t="s">
        <v>143</v>
      </c>
      <c r="D24" s="7" t="s">
        <v>162</v>
      </c>
      <c r="E24" s="5" t="s">
        <v>163</v>
      </c>
      <c r="F24" s="5" t="s">
        <v>146</v>
      </c>
    </row>
    <row r="25" spans="1:6" ht="39.75" customHeight="1" x14ac:dyDescent="0.3">
      <c r="A25" s="5">
        <v>9</v>
      </c>
      <c r="B25" s="6" t="s">
        <v>164</v>
      </c>
      <c r="C25" s="6" t="s">
        <v>143</v>
      </c>
      <c r="D25" s="7" t="s">
        <v>165</v>
      </c>
      <c r="E25" s="5" t="s">
        <v>166</v>
      </c>
      <c r="F25" s="5" t="s">
        <v>146</v>
      </c>
    </row>
    <row r="26" spans="1:6" ht="39.75" customHeight="1" x14ac:dyDescent="0.3">
      <c r="A26" s="240" t="s">
        <v>167</v>
      </c>
      <c r="B26" s="240"/>
      <c r="C26" s="240"/>
      <c r="D26" s="240"/>
      <c r="E26" s="240"/>
      <c r="F26" s="240"/>
    </row>
    <row r="27" spans="1:6" ht="39.75" customHeight="1" x14ac:dyDescent="0.3">
      <c r="A27" s="4" t="s">
        <v>116</v>
      </c>
      <c r="B27" s="4" t="s">
        <v>168</v>
      </c>
      <c r="C27" s="4" t="s">
        <v>169</v>
      </c>
      <c r="D27" s="4" t="s">
        <v>170</v>
      </c>
      <c r="E27" s="4" t="s">
        <v>171</v>
      </c>
      <c r="F27" s="4" t="s">
        <v>172</v>
      </c>
    </row>
    <row r="28" spans="1:6" ht="39.75" customHeight="1" x14ac:dyDescent="0.3">
      <c r="A28" s="6" t="s">
        <v>173</v>
      </c>
      <c r="B28" s="7" t="s">
        <v>127</v>
      </c>
      <c r="C28" s="5" t="s">
        <v>127</v>
      </c>
      <c r="D28" s="7" t="s">
        <v>127</v>
      </c>
      <c r="E28" s="5" t="s">
        <v>127</v>
      </c>
      <c r="F28" s="5" t="s">
        <v>121</v>
      </c>
    </row>
    <row r="29" spans="1:6" ht="39.75" customHeight="1" x14ac:dyDescent="0.3">
      <c r="A29" s="6" t="s">
        <v>174</v>
      </c>
      <c r="B29" s="7" t="s">
        <v>175</v>
      </c>
      <c r="C29" s="5" t="s">
        <v>176</v>
      </c>
      <c r="D29" s="7" t="s">
        <v>177</v>
      </c>
      <c r="E29" s="5" t="s">
        <v>178</v>
      </c>
      <c r="F29" s="5" t="s">
        <v>179</v>
      </c>
    </row>
    <row r="30" spans="1:6" ht="39.75" customHeight="1" x14ac:dyDescent="0.3">
      <c r="A30" s="6" t="s">
        <v>180</v>
      </c>
      <c r="B30" s="7" t="s">
        <v>181</v>
      </c>
      <c r="C30" s="5" t="s">
        <v>182</v>
      </c>
      <c r="D30" s="7" t="s">
        <v>183</v>
      </c>
      <c r="E30" s="5" t="s">
        <v>184</v>
      </c>
      <c r="F30" s="5" t="s">
        <v>179</v>
      </c>
    </row>
    <row r="31" spans="1:6" ht="39.75" customHeight="1" x14ac:dyDescent="0.3">
      <c r="A31" s="6" t="s">
        <v>185</v>
      </c>
      <c r="B31" s="7" t="s">
        <v>186</v>
      </c>
      <c r="C31" s="5" t="s">
        <v>187</v>
      </c>
      <c r="D31" s="7" t="s">
        <v>188</v>
      </c>
      <c r="E31" s="5" t="s">
        <v>189</v>
      </c>
      <c r="F31" s="5" t="s">
        <v>190</v>
      </c>
    </row>
    <row r="32" spans="1:6" ht="39.75" customHeight="1" x14ac:dyDescent="0.3">
      <c r="A32" s="6" t="s">
        <v>191</v>
      </c>
      <c r="B32" s="7" t="s">
        <v>192</v>
      </c>
      <c r="C32" s="5" t="s">
        <v>193</v>
      </c>
      <c r="D32" s="7" t="s">
        <v>194</v>
      </c>
      <c r="E32" s="5" t="s">
        <v>195</v>
      </c>
      <c r="F32" s="5" t="s">
        <v>196</v>
      </c>
    </row>
    <row r="33" spans="1:6" ht="39.75" customHeight="1" x14ac:dyDescent="0.3">
      <c r="A33" s="6" t="s">
        <v>197</v>
      </c>
      <c r="B33" s="7" t="s">
        <v>198</v>
      </c>
      <c r="C33" s="5" t="s">
        <v>199</v>
      </c>
      <c r="D33" s="7" t="s">
        <v>200</v>
      </c>
      <c r="E33" s="5" t="s">
        <v>201</v>
      </c>
      <c r="F33" s="5" t="s">
        <v>202</v>
      </c>
    </row>
    <row r="34" spans="1:6" ht="39.75" customHeight="1" x14ac:dyDescent="0.3">
      <c r="A34" s="6" t="s">
        <v>203</v>
      </c>
      <c r="B34" s="7" t="s">
        <v>204</v>
      </c>
      <c r="C34" s="5" t="s">
        <v>205</v>
      </c>
      <c r="D34" s="7" t="s">
        <v>206</v>
      </c>
      <c r="E34" s="5" t="s">
        <v>205</v>
      </c>
      <c r="F34" s="5" t="s">
        <v>207</v>
      </c>
    </row>
    <row r="35" spans="1:6" ht="39.75" customHeight="1" x14ac:dyDescent="0.3">
      <c r="A35" s="6" t="s">
        <v>132</v>
      </c>
      <c r="B35" s="7" t="s">
        <v>134</v>
      </c>
      <c r="C35" s="5" t="s">
        <v>135</v>
      </c>
      <c r="D35" s="7" t="s">
        <v>208</v>
      </c>
      <c r="E35" s="5" t="s">
        <v>209</v>
      </c>
      <c r="F35" s="5" t="s">
        <v>210</v>
      </c>
    </row>
    <row r="36" spans="1:6" ht="39.75" customHeight="1" x14ac:dyDescent="0.3">
      <c r="A36" s="6" t="s">
        <v>211</v>
      </c>
      <c r="B36" s="7" t="s">
        <v>212</v>
      </c>
      <c r="C36" s="5" t="s">
        <v>213</v>
      </c>
      <c r="D36" s="7" t="s">
        <v>214</v>
      </c>
      <c r="E36" s="5" t="s">
        <v>215</v>
      </c>
      <c r="F36" s="5" t="s">
        <v>216</v>
      </c>
    </row>
    <row r="37" spans="1:6" ht="39.75" customHeight="1" x14ac:dyDescent="0.3">
      <c r="A37" s="245" t="s">
        <v>217</v>
      </c>
      <c r="B37" s="244" t="s">
        <v>218</v>
      </c>
      <c r="C37" s="244" t="s">
        <v>219</v>
      </c>
      <c r="D37" s="244" t="s">
        <v>220</v>
      </c>
      <c r="E37" s="244" t="s">
        <v>219</v>
      </c>
      <c r="F37" s="244" t="s">
        <v>121</v>
      </c>
    </row>
    <row r="39" spans="1:6" ht="39.75" customHeight="1" x14ac:dyDescent="0.3">
      <c r="A39" s="243" t="s">
        <v>221</v>
      </c>
      <c r="B39" s="243"/>
      <c r="C39" s="243"/>
      <c r="D39" s="243"/>
      <c r="E39" s="243"/>
      <c r="F39" s="243"/>
    </row>
    <row r="40" spans="1:6" ht="39.75" customHeight="1" x14ac:dyDescent="0.3">
      <c r="A40" s="191" t="s">
        <v>222</v>
      </c>
      <c r="B40" s="191"/>
      <c r="C40" s="191"/>
      <c r="D40" s="191"/>
      <c r="E40" s="191"/>
      <c r="F40" s="191"/>
    </row>
    <row r="41" spans="1:6" ht="39.75" customHeight="1" x14ac:dyDescent="0.3">
      <c r="A41" s="191" t="s">
        <v>223</v>
      </c>
      <c r="B41" s="191"/>
      <c r="C41" s="191"/>
      <c r="D41" s="191"/>
      <c r="E41" s="191"/>
      <c r="F41" s="191"/>
    </row>
    <row r="42" spans="1:6" ht="39.75" customHeight="1" x14ac:dyDescent="0.3">
      <c r="A42" s="191" t="s">
        <v>224</v>
      </c>
      <c r="B42" s="191"/>
      <c r="C42" s="191"/>
      <c r="D42" s="191"/>
      <c r="E42" s="191"/>
      <c r="F42" s="191"/>
    </row>
    <row r="43" spans="1:6" ht="39.75" customHeight="1" x14ac:dyDescent="0.3">
      <c r="A43" s="191" t="s">
        <v>225</v>
      </c>
      <c r="B43" s="191"/>
      <c r="C43" s="191"/>
      <c r="D43" s="191"/>
      <c r="E43" s="191"/>
      <c r="F43" s="191"/>
    </row>
    <row r="44" spans="1:6" ht="39.75" customHeight="1" x14ac:dyDescent="0.3">
      <c r="A44" s="191" t="s">
        <v>226</v>
      </c>
      <c r="B44" s="191"/>
      <c r="C44" s="191"/>
      <c r="D44" s="191"/>
      <c r="E44" s="191"/>
      <c r="F44" s="191"/>
    </row>
    <row r="45" spans="1:6" ht="39.75" customHeight="1" x14ac:dyDescent="0.3">
      <c r="A45" s="191" t="s">
        <v>227</v>
      </c>
      <c r="B45" s="191"/>
      <c r="C45" s="191"/>
      <c r="D45" s="191"/>
      <c r="E45" s="191"/>
      <c r="F45" s="191"/>
    </row>
  </sheetData>
  <mergeCells count="19">
    <mergeCell ref="A42:F42"/>
    <mergeCell ref="A43:F43"/>
    <mergeCell ref="A44:F44"/>
    <mergeCell ref="A45:F45"/>
    <mergeCell ref="A15:F15"/>
    <mergeCell ref="A26:F26"/>
    <mergeCell ref="A39:F39"/>
    <mergeCell ref="A40:F40"/>
    <mergeCell ref="A41:F41"/>
    <mergeCell ref="B9:C9"/>
    <mergeCell ref="A10:C10"/>
    <mergeCell ref="A11:F11"/>
    <mergeCell ref="B12:C12"/>
    <mergeCell ref="A13:C13"/>
    <mergeCell ref="A1:F1"/>
    <mergeCell ref="A2:F2"/>
    <mergeCell ref="A3:F5"/>
    <mergeCell ref="A6:F6"/>
    <mergeCell ref="A8:F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7"/>
  <sheetViews>
    <sheetView zoomScaleNormal="100" workbookViewId="0">
      <selection activeCell="A32" sqref="A32:F32"/>
    </sheetView>
  </sheetViews>
  <sheetFormatPr defaultColWidth="8.6640625" defaultRowHeight="14.4" x14ac:dyDescent="0.3"/>
  <cols>
    <col min="1" max="1" width="8" customWidth="1"/>
    <col min="2" max="2" width="52" customWidth="1"/>
    <col min="3" max="3" width="18" customWidth="1"/>
    <col min="4" max="4" width="14" customWidth="1"/>
    <col min="5" max="5" width="18" customWidth="1"/>
    <col min="6" max="6" width="14" customWidth="1"/>
    <col min="7" max="14" width="13" hidden="1" customWidth="1"/>
  </cols>
  <sheetData>
    <row r="1" spans="1:14" ht="21.75" customHeight="1" x14ac:dyDescent="0.3">
      <c r="A1" s="223" t="s">
        <v>110</v>
      </c>
      <c r="B1" s="223"/>
      <c r="C1" s="223"/>
      <c r="D1" s="223"/>
      <c r="E1" s="223"/>
      <c r="F1" s="223"/>
      <c r="G1" s="8"/>
      <c r="H1" s="8"/>
      <c r="I1" s="8"/>
      <c r="J1" s="8"/>
      <c r="K1" s="8"/>
      <c r="L1" s="8"/>
      <c r="M1" s="9"/>
      <c r="N1" s="9"/>
    </row>
    <row r="2" spans="1:14" ht="18" customHeight="1" x14ac:dyDescent="0.3">
      <c r="A2" s="224" t="s">
        <v>228</v>
      </c>
      <c r="B2" s="224"/>
      <c r="C2" s="224"/>
      <c r="D2" s="224"/>
      <c r="E2" s="224"/>
      <c r="F2" s="224"/>
      <c r="G2" s="9"/>
      <c r="H2" s="9"/>
      <c r="I2" s="9"/>
      <c r="J2" s="9"/>
      <c r="K2" s="9"/>
      <c r="L2" s="10"/>
      <c r="M2" s="9"/>
      <c r="N2" s="9"/>
    </row>
    <row r="3" spans="1:14" ht="6" customHeight="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"/>
      <c r="M3" s="8"/>
      <c r="N3" s="8"/>
    </row>
    <row r="4" spans="1:14" ht="30.75" customHeight="1" x14ac:dyDescent="0.3">
      <c r="A4" s="225" t="s">
        <v>114</v>
      </c>
      <c r="B4" s="225" t="s">
        <v>115</v>
      </c>
      <c r="C4" s="225" t="s">
        <v>116</v>
      </c>
      <c r="D4" s="225" t="s">
        <v>229</v>
      </c>
      <c r="E4" s="225" t="s">
        <v>118</v>
      </c>
      <c r="F4" s="225" t="s">
        <v>230</v>
      </c>
      <c r="G4" s="11"/>
      <c r="H4" s="11"/>
      <c r="I4" s="11"/>
      <c r="J4" s="11"/>
      <c r="K4" s="11"/>
      <c r="L4" s="11"/>
      <c r="M4" s="11"/>
      <c r="N4" s="11"/>
    </row>
    <row r="5" spans="1:14" ht="18" customHeight="1" x14ac:dyDescent="0.3">
      <c r="A5" s="238" t="s">
        <v>231</v>
      </c>
      <c r="B5" s="238"/>
      <c r="C5" s="238"/>
      <c r="D5" s="238"/>
      <c r="E5" s="238"/>
      <c r="F5" s="238"/>
      <c r="G5" s="11"/>
      <c r="H5" s="11"/>
      <c r="I5" s="11"/>
      <c r="J5" s="11"/>
      <c r="K5" s="11"/>
      <c r="L5" s="11"/>
      <c r="M5" s="11"/>
      <c r="N5" s="11"/>
    </row>
    <row r="6" spans="1:14" ht="18" customHeight="1" x14ac:dyDescent="0.3">
      <c r="A6" s="226">
        <v>1</v>
      </c>
      <c r="B6" s="227" t="s">
        <v>232</v>
      </c>
      <c r="C6" s="228" t="s">
        <v>233</v>
      </c>
      <c r="D6" s="226" t="s">
        <v>234</v>
      </c>
      <c r="E6" s="229" t="s">
        <v>235</v>
      </c>
      <c r="F6" s="230" t="s">
        <v>236</v>
      </c>
      <c r="G6" s="12"/>
      <c r="H6" s="11"/>
      <c r="I6" s="12"/>
      <c r="J6" s="11"/>
      <c r="K6" s="12"/>
      <c r="L6" s="11"/>
      <c r="M6" s="11"/>
      <c r="N6" s="11"/>
    </row>
    <row r="7" spans="1:14" ht="18" customHeight="1" x14ac:dyDescent="0.3">
      <c r="A7" s="226">
        <v>2</v>
      </c>
      <c r="B7" s="227" t="s">
        <v>142</v>
      </c>
      <c r="C7" s="228" t="s">
        <v>233</v>
      </c>
      <c r="D7" s="226" t="s">
        <v>237</v>
      </c>
      <c r="E7" s="229" t="s">
        <v>238</v>
      </c>
      <c r="F7" s="230" t="s">
        <v>239</v>
      </c>
      <c r="G7" s="12"/>
      <c r="H7" s="11"/>
      <c r="I7" s="12"/>
      <c r="J7" s="11"/>
      <c r="K7" s="12"/>
      <c r="L7" s="11"/>
      <c r="M7" s="11"/>
      <c r="N7" s="11"/>
    </row>
    <row r="8" spans="1:14" ht="18" customHeight="1" x14ac:dyDescent="0.3">
      <c r="A8" s="226">
        <v>3</v>
      </c>
      <c r="B8" s="227" t="s">
        <v>164</v>
      </c>
      <c r="C8" s="228" t="s">
        <v>233</v>
      </c>
      <c r="D8" s="226" t="s">
        <v>237</v>
      </c>
      <c r="E8" s="229" t="s">
        <v>240</v>
      </c>
      <c r="F8" s="230" t="s">
        <v>241</v>
      </c>
      <c r="G8" s="12"/>
      <c r="H8" s="11"/>
      <c r="I8" s="12"/>
      <c r="J8" s="11"/>
      <c r="K8" s="12"/>
      <c r="L8" s="11"/>
      <c r="M8" s="11"/>
      <c r="N8" s="11"/>
    </row>
    <row r="9" spans="1:14" ht="18" customHeight="1" x14ac:dyDescent="0.3">
      <c r="A9" s="226">
        <v>4</v>
      </c>
      <c r="B9" s="227" t="s">
        <v>161</v>
      </c>
      <c r="C9" s="228" t="s">
        <v>233</v>
      </c>
      <c r="D9" s="226" t="s">
        <v>237</v>
      </c>
      <c r="E9" s="229" t="s">
        <v>242</v>
      </c>
      <c r="F9" s="230" t="s">
        <v>243</v>
      </c>
      <c r="G9" s="12"/>
      <c r="H9" s="11"/>
      <c r="I9" s="12"/>
      <c r="J9" s="11"/>
      <c r="K9" s="12"/>
      <c r="L9" s="11"/>
      <c r="M9" s="11"/>
      <c r="N9" s="11"/>
    </row>
    <row r="10" spans="1:14" ht="18" customHeight="1" x14ac:dyDescent="0.3">
      <c r="A10" s="226">
        <v>5</v>
      </c>
      <c r="B10" s="227" t="s">
        <v>154</v>
      </c>
      <c r="C10" s="228" t="s">
        <v>233</v>
      </c>
      <c r="D10" s="226" t="s">
        <v>237</v>
      </c>
      <c r="E10" s="229" t="s">
        <v>244</v>
      </c>
      <c r="F10" s="230" t="s">
        <v>245</v>
      </c>
      <c r="G10" s="12"/>
      <c r="H10" s="11"/>
      <c r="I10" s="12"/>
      <c r="J10" s="11"/>
      <c r="K10" s="12"/>
      <c r="L10" s="11"/>
      <c r="M10" s="11"/>
      <c r="N10" s="11"/>
    </row>
    <row r="11" spans="1:14" ht="18" customHeight="1" x14ac:dyDescent="0.3">
      <c r="A11" s="226">
        <v>6</v>
      </c>
      <c r="B11" s="227" t="s">
        <v>147</v>
      </c>
      <c r="C11" s="228" t="s">
        <v>233</v>
      </c>
      <c r="D11" s="226" t="s">
        <v>237</v>
      </c>
      <c r="E11" s="229" t="s">
        <v>246</v>
      </c>
      <c r="F11" s="230" t="s">
        <v>247</v>
      </c>
      <c r="G11" s="12"/>
      <c r="H11" s="11"/>
      <c r="I11" s="12"/>
      <c r="J11" s="11"/>
      <c r="K11" s="12"/>
      <c r="L11" s="11"/>
      <c r="M11" s="11"/>
      <c r="N11" s="11"/>
    </row>
    <row r="12" spans="1:14" ht="18" customHeight="1" x14ac:dyDescent="0.3">
      <c r="A12" s="226">
        <v>7</v>
      </c>
      <c r="B12" s="227" t="s">
        <v>248</v>
      </c>
      <c r="C12" s="228" t="s">
        <v>249</v>
      </c>
      <c r="D12" s="226" t="s">
        <v>250</v>
      </c>
      <c r="E12" s="229" t="s">
        <v>251</v>
      </c>
      <c r="F12" s="230" t="s">
        <v>252</v>
      </c>
      <c r="G12" s="12"/>
      <c r="H12" s="11"/>
      <c r="I12" s="12"/>
      <c r="J12" s="11"/>
      <c r="K12" s="12"/>
      <c r="L12" s="11"/>
      <c r="M12" s="11"/>
      <c r="N12" s="11"/>
    </row>
    <row r="13" spans="1:14" ht="18" customHeight="1" x14ac:dyDescent="0.3">
      <c r="A13" s="226">
        <v>8</v>
      </c>
      <c r="B13" s="227" t="s">
        <v>253</v>
      </c>
      <c r="C13" s="228" t="s">
        <v>253</v>
      </c>
      <c r="D13" s="226" t="s">
        <v>254</v>
      </c>
      <c r="E13" s="229" t="s">
        <v>255</v>
      </c>
      <c r="F13" s="230" t="s">
        <v>256</v>
      </c>
      <c r="G13" s="12"/>
      <c r="H13" s="11"/>
      <c r="I13" s="12"/>
      <c r="J13" s="11"/>
      <c r="K13" s="12"/>
      <c r="L13" s="11"/>
      <c r="M13" s="11"/>
      <c r="N13" s="11"/>
    </row>
    <row r="14" spans="1:14" ht="18" customHeight="1" x14ac:dyDescent="0.3">
      <c r="A14" s="226">
        <v>9</v>
      </c>
      <c r="B14" s="227" t="s">
        <v>257</v>
      </c>
      <c r="C14" s="228" t="s">
        <v>258</v>
      </c>
      <c r="D14" s="226" t="s">
        <v>259</v>
      </c>
      <c r="E14" s="229" t="s">
        <v>260</v>
      </c>
      <c r="F14" s="230" t="s">
        <v>261</v>
      </c>
      <c r="G14" s="12"/>
      <c r="H14" s="11"/>
      <c r="I14" s="12"/>
      <c r="J14" s="11"/>
      <c r="K14" s="12"/>
      <c r="L14" s="11"/>
      <c r="M14" s="11"/>
      <c r="N14" s="11"/>
    </row>
    <row r="15" spans="1:14" ht="18" customHeight="1" x14ac:dyDescent="0.3">
      <c r="A15" s="226">
        <v>10</v>
      </c>
      <c r="B15" s="227" t="s">
        <v>262</v>
      </c>
      <c r="C15" s="228" t="s">
        <v>258</v>
      </c>
      <c r="D15" s="226" t="s">
        <v>237</v>
      </c>
      <c r="E15" s="229" t="s">
        <v>263</v>
      </c>
      <c r="F15" s="230" t="s">
        <v>264</v>
      </c>
      <c r="G15" s="12"/>
      <c r="H15" s="11"/>
      <c r="I15" s="12"/>
      <c r="J15" s="11"/>
      <c r="K15" s="12"/>
      <c r="L15" s="11"/>
      <c r="M15" s="11"/>
      <c r="N15" s="11"/>
    </row>
    <row r="16" spans="1:14" ht="18" customHeight="1" x14ac:dyDescent="0.3">
      <c r="A16" s="226">
        <v>11</v>
      </c>
      <c r="B16" s="227" t="s">
        <v>265</v>
      </c>
      <c r="C16" s="228" t="s">
        <v>258</v>
      </c>
      <c r="D16" s="226" t="s">
        <v>237</v>
      </c>
      <c r="E16" s="229" t="s">
        <v>266</v>
      </c>
      <c r="F16" s="230" t="s">
        <v>267</v>
      </c>
      <c r="G16" s="12"/>
      <c r="H16" s="11"/>
      <c r="I16" s="12"/>
      <c r="J16" s="11"/>
      <c r="K16" s="12"/>
      <c r="L16" s="11"/>
      <c r="M16" s="11"/>
      <c r="N16" s="11"/>
    </row>
    <row r="17" spans="1:14" ht="18" customHeight="1" x14ac:dyDescent="0.3">
      <c r="A17" s="226">
        <v>12</v>
      </c>
      <c r="B17" s="227" t="s">
        <v>268</v>
      </c>
      <c r="C17" s="228" t="s">
        <v>258</v>
      </c>
      <c r="D17" s="226" t="s">
        <v>237</v>
      </c>
      <c r="E17" s="229" t="s">
        <v>269</v>
      </c>
      <c r="F17" s="230" t="s">
        <v>270</v>
      </c>
      <c r="G17" s="12"/>
      <c r="H17" s="11"/>
      <c r="I17" s="12"/>
      <c r="J17" s="11"/>
      <c r="K17" s="12"/>
      <c r="L17" s="11"/>
      <c r="M17" s="11"/>
      <c r="N17" s="11"/>
    </row>
    <row r="18" spans="1:14" ht="18" customHeight="1" x14ac:dyDescent="0.3">
      <c r="A18" s="226">
        <v>13</v>
      </c>
      <c r="B18" s="227" t="s">
        <v>271</v>
      </c>
      <c r="C18" s="228" t="s">
        <v>258</v>
      </c>
      <c r="D18" s="226" t="s">
        <v>237</v>
      </c>
      <c r="E18" s="229" t="s">
        <v>272</v>
      </c>
      <c r="F18" s="230" t="s">
        <v>273</v>
      </c>
      <c r="G18" s="12"/>
      <c r="H18" s="11"/>
      <c r="I18" s="12"/>
      <c r="J18" s="11"/>
      <c r="K18" s="12"/>
      <c r="L18" s="11"/>
      <c r="M18" s="11"/>
      <c r="N18" s="11"/>
    </row>
    <row r="19" spans="1:14" ht="18" customHeight="1" x14ac:dyDescent="0.3">
      <c r="A19" s="226">
        <v>14</v>
      </c>
      <c r="B19" s="227" t="s">
        <v>274</v>
      </c>
      <c r="C19" s="228" t="s">
        <v>275</v>
      </c>
      <c r="D19" s="226" t="s">
        <v>237</v>
      </c>
      <c r="E19" s="229" t="s">
        <v>276</v>
      </c>
      <c r="F19" s="230" t="s">
        <v>277</v>
      </c>
      <c r="G19" s="12"/>
      <c r="H19" s="11"/>
      <c r="I19" s="12"/>
      <c r="J19" s="11"/>
      <c r="K19" s="12"/>
      <c r="L19" s="11"/>
      <c r="M19" s="11"/>
      <c r="N19" s="11"/>
    </row>
    <row r="20" spans="1:14" ht="18" customHeight="1" x14ac:dyDescent="0.3">
      <c r="A20" s="226">
        <v>15</v>
      </c>
      <c r="B20" s="227" t="s">
        <v>278</v>
      </c>
      <c r="C20" s="228" t="s">
        <v>275</v>
      </c>
      <c r="D20" s="226" t="s">
        <v>237</v>
      </c>
      <c r="E20" s="229" t="s">
        <v>276</v>
      </c>
      <c r="F20" s="230" t="s">
        <v>277</v>
      </c>
      <c r="G20" s="12"/>
      <c r="H20" s="11"/>
      <c r="I20" s="12"/>
      <c r="J20" s="11"/>
      <c r="K20" s="12"/>
      <c r="L20" s="11"/>
      <c r="M20" s="11"/>
      <c r="N20" s="11"/>
    </row>
    <row r="21" spans="1:14" ht="18" customHeight="1" x14ac:dyDescent="0.3">
      <c r="A21" s="226">
        <v>16</v>
      </c>
      <c r="B21" s="227" t="s">
        <v>279</v>
      </c>
      <c r="C21" s="228" t="s">
        <v>280</v>
      </c>
      <c r="D21" s="226" t="s">
        <v>281</v>
      </c>
      <c r="E21" s="229" t="s">
        <v>282</v>
      </c>
      <c r="F21" s="230" t="s">
        <v>121</v>
      </c>
      <c r="G21" s="12"/>
      <c r="H21" s="11"/>
      <c r="I21" s="12"/>
      <c r="J21" s="11"/>
      <c r="K21" s="12"/>
      <c r="L21" s="11"/>
      <c r="M21" s="11"/>
      <c r="N21" s="11"/>
    </row>
    <row r="22" spans="1:14" ht="18" customHeight="1" x14ac:dyDescent="0.3">
      <c r="A22" s="231"/>
      <c r="B22" s="231" t="s">
        <v>283</v>
      </c>
      <c r="C22" s="232"/>
      <c r="D22" s="233" t="s">
        <v>284</v>
      </c>
      <c r="E22" s="234" t="s">
        <v>285</v>
      </c>
      <c r="F22" s="235" t="s">
        <v>286</v>
      </c>
      <c r="G22" s="12"/>
      <c r="H22" s="11"/>
      <c r="I22" s="12"/>
      <c r="J22" s="11"/>
      <c r="K22" s="12"/>
      <c r="L22" s="11"/>
      <c r="M22" s="11"/>
      <c r="N22" s="11"/>
    </row>
    <row r="23" spans="1:14" ht="18" customHeight="1" x14ac:dyDescent="0.3">
      <c r="A23" s="238" t="s">
        <v>287</v>
      </c>
      <c r="B23" s="238"/>
      <c r="C23" s="238"/>
      <c r="D23" s="238"/>
      <c r="E23" s="238"/>
      <c r="F23" s="238"/>
      <c r="G23" s="11"/>
      <c r="H23" s="11"/>
      <c r="I23" s="11"/>
      <c r="J23" s="11"/>
      <c r="K23" s="11"/>
      <c r="L23" s="11"/>
      <c r="M23" s="11"/>
      <c r="N23" s="11"/>
    </row>
    <row r="24" spans="1:14" ht="18" customHeight="1" x14ac:dyDescent="0.3">
      <c r="A24" s="226">
        <v>17</v>
      </c>
      <c r="B24" s="227" t="s">
        <v>288</v>
      </c>
      <c r="C24" s="228" t="s">
        <v>289</v>
      </c>
      <c r="D24" s="226" t="s">
        <v>290</v>
      </c>
      <c r="E24" s="229" t="s">
        <v>291</v>
      </c>
      <c r="F24" s="230" t="s">
        <v>292</v>
      </c>
      <c r="G24" s="12"/>
      <c r="H24" s="11"/>
      <c r="I24" s="12"/>
      <c r="J24" s="11"/>
      <c r="K24" s="12"/>
      <c r="L24" s="11"/>
      <c r="M24" s="11"/>
      <c r="N24" s="11"/>
    </row>
    <row r="25" spans="1:14" ht="18" customHeight="1" x14ac:dyDescent="0.3">
      <c r="A25" s="226">
        <v>18</v>
      </c>
      <c r="B25" s="227" t="s">
        <v>157</v>
      </c>
      <c r="C25" s="228" t="s">
        <v>289</v>
      </c>
      <c r="D25" s="226" t="s">
        <v>237</v>
      </c>
      <c r="E25" s="229" t="s">
        <v>293</v>
      </c>
      <c r="F25" s="230" t="s">
        <v>294</v>
      </c>
      <c r="G25" s="12"/>
      <c r="H25" s="11"/>
      <c r="I25" s="12"/>
      <c r="J25" s="11"/>
      <c r="K25" s="12"/>
      <c r="L25" s="11"/>
      <c r="M25" s="11"/>
      <c r="N25" s="11"/>
    </row>
    <row r="26" spans="1:14" ht="18" customHeight="1" x14ac:dyDescent="0.3">
      <c r="A26" s="226">
        <v>19</v>
      </c>
      <c r="B26" s="227" t="s">
        <v>295</v>
      </c>
      <c r="C26" s="228" t="s">
        <v>296</v>
      </c>
      <c r="D26" s="226" t="s">
        <v>297</v>
      </c>
      <c r="E26" s="229" t="s">
        <v>298</v>
      </c>
      <c r="F26" s="230" t="s">
        <v>299</v>
      </c>
      <c r="G26" s="12"/>
      <c r="H26" s="11"/>
      <c r="I26" s="12"/>
      <c r="J26" s="11"/>
      <c r="K26" s="12"/>
      <c r="L26" s="11"/>
      <c r="M26" s="11"/>
      <c r="N26" s="11"/>
    </row>
    <row r="27" spans="1:14" ht="18" customHeight="1" x14ac:dyDescent="0.3">
      <c r="A27" s="226">
        <v>20</v>
      </c>
      <c r="B27" s="227" t="s">
        <v>300</v>
      </c>
      <c r="C27" s="228" t="s">
        <v>301</v>
      </c>
      <c r="D27" s="226" t="s">
        <v>302</v>
      </c>
      <c r="E27" s="229" t="s">
        <v>303</v>
      </c>
      <c r="F27" s="230" t="s">
        <v>304</v>
      </c>
      <c r="G27" s="12"/>
      <c r="H27" s="11"/>
      <c r="I27" s="12"/>
      <c r="J27" s="11"/>
      <c r="K27" s="12"/>
      <c r="L27" s="11"/>
      <c r="M27" s="11"/>
      <c r="N27" s="11"/>
    </row>
    <row r="28" spans="1:14" ht="18" customHeight="1" x14ac:dyDescent="0.3">
      <c r="A28" s="231"/>
      <c r="B28" s="231" t="s">
        <v>305</v>
      </c>
      <c r="C28" s="232"/>
      <c r="D28" s="233" t="s">
        <v>306</v>
      </c>
      <c r="E28" s="234" t="s">
        <v>307</v>
      </c>
      <c r="F28" s="235" t="s">
        <v>308</v>
      </c>
      <c r="G28" s="12"/>
      <c r="H28" s="11"/>
      <c r="I28" s="12"/>
      <c r="J28" s="11"/>
      <c r="K28" s="12"/>
      <c r="L28" s="11"/>
      <c r="M28" s="11"/>
      <c r="N28" s="11"/>
    </row>
    <row r="29" spans="1:14" ht="18" customHeight="1" x14ac:dyDescent="0.3">
      <c r="A29" s="238" t="s">
        <v>309</v>
      </c>
      <c r="B29" s="238"/>
      <c r="C29" s="238"/>
      <c r="D29" s="238"/>
      <c r="E29" s="238"/>
      <c r="F29" s="238"/>
      <c r="G29" s="12"/>
      <c r="H29" s="11"/>
      <c r="I29" s="12"/>
      <c r="J29" s="11"/>
      <c r="K29" s="12"/>
      <c r="L29" s="11"/>
      <c r="M29" s="11"/>
      <c r="N29" s="11"/>
    </row>
    <row r="30" spans="1:14" ht="18" customHeight="1" x14ac:dyDescent="0.3">
      <c r="A30" s="226">
        <v>21</v>
      </c>
      <c r="B30" s="227" t="s">
        <v>310</v>
      </c>
      <c r="C30" s="227" t="s">
        <v>311</v>
      </c>
      <c r="D30" s="226" t="s">
        <v>312</v>
      </c>
      <c r="E30" s="230" t="s">
        <v>313</v>
      </c>
      <c r="F30" s="230" t="s">
        <v>314</v>
      </c>
      <c r="G30" s="11"/>
      <c r="H30" s="11"/>
      <c r="I30" s="11"/>
      <c r="J30" s="11"/>
      <c r="K30" s="11"/>
      <c r="L30" s="11"/>
      <c r="M30" s="11"/>
      <c r="N30" s="11"/>
    </row>
    <row r="31" spans="1:14" ht="18" customHeight="1" x14ac:dyDescent="0.3">
      <c r="A31" s="231"/>
      <c r="B31" s="231" t="s">
        <v>315</v>
      </c>
      <c r="C31" s="232"/>
      <c r="D31" s="233" t="s">
        <v>312</v>
      </c>
      <c r="E31" s="234" t="s">
        <v>313</v>
      </c>
      <c r="F31" s="235" t="s">
        <v>314</v>
      </c>
      <c r="G31" s="12"/>
      <c r="H31" s="11"/>
      <c r="I31" s="12"/>
      <c r="J31" s="11"/>
      <c r="K31" s="12"/>
      <c r="L31" s="11"/>
      <c r="M31" s="11"/>
      <c r="N31" s="11"/>
    </row>
    <row r="32" spans="1:14" ht="18" customHeight="1" x14ac:dyDescent="0.3">
      <c r="A32" s="238" t="s">
        <v>316</v>
      </c>
      <c r="B32" s="238"/>
      <c r="C32" s="238"/>
      <c r="D32" s="238"/>
      <c r="E32" s="238"/>
      <c r="F32" s="238"/>
      <c r="G32" s="12"/>
      <c r="H32" s="11"/>
      <c r="I32" s="12"/>
      <c r="J32" s="11"/>
      <c r="K32" s="12"/>
      <c r="L32" s="11"/>
      <c r="M32" s="11"/>
      <c r="N32" s="11"/>
    </row>
    <row r="33" spans="1:14" ht="18" customHeight="1" x14ac:dyDescent="0.3">
      <c r="A33" s="226">
        <v>22</v>
      </c>
      <c r="B33" s="227" t="s">
        <v>317</v>
      </c>
      <c r="C33" s="227" t="s">
        <v>318</v>
      </c>
      <c r="D33" s="226" t="s">
        <v>319</v>
      </c>
      <c r="E33" s="230" t="s">
        <v>320</v>
      </c>
      <c r="F33" s="230" t="s">
        <v>205</v>
      </c>
      <c r="G33" s="11"/>
      <c r="H33" s="11"/>
      <c r="I33" s="11"/>
      <c r="J33" s="11"/>
      <c r="K33" s="11"/>
      <c r="L33" s="11"/>
      <c r="M33" s="11"/>
      <c r="N33" s="11"/>
    </row>
    <row r="34" spans="1:14" ht="18" customHeight="1" x14ac:dyDescent="0.3">
      <c r="A34" s="226">
        <v>23</v>
      </c>
      <c r="B34" s="227" t="s">
        <v>321</v>
      </c>
      <c r="C34" s="228" t="s">
        <v>322</v>
      </c>
      <c r="D34" s="226" t="s">
        <v>237</v>
      </c>
      <c r="E34" s="229" t="s">
        <v>323</v>
      </c>
      <c r="F34" s="230" t="s">
        <v>324</v>
      </c>
      <c r="G34" s="12"/>
      <c r="H34" s="11"/>
      <c r="I34" s="12"/>
      <c r="J34" s="11"/>
      <c r="K34" s="12"/>
      <c r="L34" s="11"/>
      <c r="M34" s="11"/>
      <c r="N34" s="11"/>
    </row>
    <row r="35" spans="1:14" ht="18" customHeight="1" x14ac:dyDescent="0.3">
      <c r="A35" s="226">
        <v>24</v>
      </c>
      <c r="B35" s="227" t="s">
        <v>325</v>
      </c>
      <c r="C35" s="228" t="s">
        <v>326</v>
      </c>
      <c r="D35" s="226" t="s">
        <v>327</v>
      </c>
      <c r="E35" s="229" t="s">
        <v>328</v>
      </c>
      <c r="F35" s="230" t="s">
        <v>329</v>
      </c>
      <c r="G35" s="12"/>
      <c r="H35" s="11"/>
      <c r="I35" s="12"/>
      <c r="J35" s="11"/>
      <c r="K35" s="12"/>
      <c r="L35" s="11"/>
      <c r="M35" s="11"/>
      <c r="N35" s="11"/>
    </row>
    <row r="36" spans="1:14" ht="18" customHeight="1" x14ac:dyDescent="0.3">
      <c r="A36" s="226">
        <v>25</v>
      </c>
      <c r="B36" s="228" t="s">
        <v>330</v>
      </c>
      <c r="C36" s="228" t="s">
        <v>331</v>
      </c>
      <c r="D36" s="226" t="s">
        <v>332</v>
      </c>
      <c r="E36" s="229" t="s">
        <v>333</v>
      </c>
      <c r="F36" s="230" t="s">
        <v>334</v>
      </c>
      <c r="G36" s="12"/>
      <c r="H36" s="11"/>
      <c r="I36" s="12"/>
      <c r="J36" s="11"/>
      <c r="K36" s="12"/>
      <c r="L36" s="11"/>
      <c r="M36" s="11"/>
      <c r="N36" s="11"/>
    </row>
    <row r="37" spans="1:14" ht="18" customHeight="1" x14ac:dyDescent="0.3">
      <c r="A37" s="226">
        <v>26</v>
      </c>
      <c r="B37" s="227" t="s">
        <v>335</v>
      </c>
      <c r="C37" s="228" t="s">
        <v>336</v>
      </c>
      <c r="D37" s="226" t="s">
        <v>337</v>
      </c>
      <c r="E37" s="229" t="s">
        <v>338</v>
      </c>
      <c r="F37" s="230" t="s">
        <v>339</v>
      </c>
      <c r="G37" s="12"/>
      <c r="H37" s="11"/>
      <c r="I37" s="12"/>
      <c r="J37" s="11"/>
      <c r="K37" s="12"/>
      <c r="L37" s="11"/>
      <c r="M37" s="11"/>
      <c r="N37" s="11"/>
    </row>
    <row r="38" spans="1:14" ht="18" customHeight="1" x14ac:dyDescent="0.3">
      <c r="A38" s="226">
        <v>27</v>
      </c>
      <c r="B38" s="228" t="s">
        <v>340</v>
      </c>
      <c r="C38" s="228" t="s">
        <v>341</v>
      </c>
      <c r="D38" s="226" t="s">
        <v>342</v>
      </c>
      <c r="E38" s="229" t="s">
        <v>343</v>
      </c>
      <c r="F38" s="230" t="s">
        <v>344</v>
      </c>
      <c r="G38" s="12"/>
      <c r="H38" s="11"/>
      <c r="I38" s="12"/>
      <c r="J38" s="11"/>
      <c r="K38" s="12"/>
      <c r="L38" s="11"/>
      <c r="M38" s="11"/>
      <c r="N38" s="11"/>
    </row>
    <row r="39" spans="1:14" ht="18" customHeight="1" x14ac:dyDescent="0.3">
      <c r="A39" s="226">
        <v>28</v>
      </c>
      <c r="B39" s="227" t="s">
        <v>345</v>
      </c>
      <c r="C39" s="228" t="s">
        <v>346</v>
      </c>
      <c r="D39" s="226" t="s">
        <v>347</v>
      </c>
      <c r="E39" s="229" t="s">
        <v>348</v>
      </c>
      <c r="F39" s="230" t="s">
        <v>121</v>
      </c>
      <c r="G39" s="12"/>
      <c r="H39" s="11"/>
      <c r="I39" s="12"/>
      <c r="J39" s="11"/>
      <c r="K39" s="12"/>
      <c r="L39" s="11"/>
      <c r="M39" s="11"/>
      <c r="N39" s="11"/>
    </row>
    <row r="40" spans="1:14" ht="18" customHeight="1" x14ac:dyDescent="0.3">
      <c r="A40" s="226">
        <v>29</v>
      </c>
      <c r="B40" s="227" t="s">
        <v>349</v>
      </c>
      <c r="C40" s="228" t="s">
        <v>350</v>
      </c>
      <c r="D40" s="226" t="s">
        <v>351</v>
      </c>
      <c r="E40" s="229" t="s">
        <v>352</v>
      </c>
      <c r="F40" s="230" t="s">
        <v>187</v>
      </c>
      <c r="G40" s="12"/>
      <c r="H40" s="11"/>
      <c r="I40" s="12"/>
      <c r="J40" s="11"/>
      <c r="K40" s="12"/>
      <c r="L40" s="11"/>
      <c r="M40" s="11"/>
      <c r="N40" s="11"/>
    </row>
    <row r="41" spans="1:14" ht="18" customHeight="1" x14ac:dyDescent="0.3">
      <c r="A41" s="226">
        <v>30</v>
      </c>
      <c r="B41" s="228" t="s">
        <v>353</v>
      </c>
      <c r="C41" s="228" t="s">
        <v>354</v>
      </c>
      <c r="D41" s="226" t="s">
        <v>355</v>
      </c>
      <c r="E41" s="229" t="s">
        <v>356</v>
      </c>
      <c r="F41" s="230" t="s">
        <v>357</v>
      </c>
      <c r="G41" s="12"/>
      <c r="H41" s="11"/>
      <c r="I41" s="12"/>
      <c r="J41" s="11"/>
      <c r="K41" s="12"/>
      <c r="L41" s="11"/>
      <c r="M41" s="11"/>
      <c r="N41" s="11"/>
    </row>
    <row r="42" spans="1:14" ht="18" customHeight="1" x14ac:dyDescent="0.3">
      <c r="A42" s="226">
        <v>31</v>
      </c>
      <c r="B42" s="228" t="s">
        <v>358</v>
      </c>
      <c r="C42" s="228" t="s">
        <v>359</v>
      </c>
      <c r="D42" s="226" t="s">
        <v>360</v>
      </c>
      <c r="E42" s="229" t="s">
        <v>361</v>
      </c>
      <c r="F42" s="230" t="s">
        <v>362</v>
      </c>
      <c r="G42" s="12"/>
      <c r="H42" s="11"/>
      <c r="I42" s="12"/>
      <c r="J42" s="11"/>
      <c r="K42" s="12"/>
      <c r="L42" s="11"/>
      <c r="M42" s="11"/>
      <c r="N42" s="11"/>
    </row>
    <row r="43" spans="1:14" ht="18" customHeight="1" x14ac:dyDescent="0.3">
      <c r="A43" s="226">
        <v>32</v>
      </c>
      <c r="B43" s="227" t="s">
        <v>363</v>
      </c>
      <c r="C43" s="228" t="s">
        <v>364</v>
      </c>
      <c r="D43" s="226" t="s">
        <v>365</v>
      </c>
      <c r="E43" s="229" t="s">
        <v>366</v>
      </c>
      <c r="F43" s="230" t="s">
        <v>324</v>
      </c>
      <c r="G43" s="12"/>
      <c r="H43" s="11"/>
      <c r="I43" s="12"/>
      <c r="J43" s="11"/>
      <c r="K43" s="12"/>
      <c r="L43" s="11"/>
      <c r="M43" s="11"/>
      <c r="N43" s="11"/>
    </row>
    <row r="44" spans="1:14" ht="18" customHeight="1" x14ac:dyDescent="0.3">
      <c r="A44" s="226">
        <v>33</v>
      </c>
      <c r="B44" s="228" t="s">
        <v>367</v>
      </c>
      <c r="C44" s="228" t="s">
        <v>368</v>
      </c>
      <c r="D44" s="226" t="s">
        <v>369</v>
      </c>
      <c r="E44" s="229" t="s">
        <v>370</v>
      </c>
      <c r="F44" s="230" t="s">
        <v>121</v>
      </c>
      <c r="G44" s="12"/>
      <c r="H44" s="11"/>
      <c r="I44" s="12"/>
      <c r="J44" s="11"/>
      <c r="K44" s="12"/>
      <c r="L44" s="11"/>
      <c r="M44" s="11"/>
      <c r="N44" s="11"/>
    </row>
    <row r="45" spans="1:14" ht="18" customHeight="1" x14ac:dyDescent="0.3">
      <c r="A45" s="226">
        <v>34</v>
      </c>
      <c r="B45" s="227" t="s">
        <v>371</v>
      </c>
      <c r="C45" s="228" t="s">
        <v>372</v>
      </c>
      <c r="D45" s="226" t="s">
        <v>373</v>
      </c>
      <c r="E45" s="229" t="s">
        <v>374</v>
      </c>
      <c r="F45" s="230" t="s">
        <v>375</v>
      </c>
      <c r="G45" s="12"/>
      <c r="H45" s="11"/>
      <c r="I45" s="12"/>
      <c r="J45" s="11"/>
      <c r="K45" s="12"/>
      <c r="L45" s="11"/>
      <c r="M45" s="11"/>
      <c r="N45" s="11"/>
    </row>
    <row r="46" spans="1:14" ht="18" customHeight="1" x14ac:dyDescent="0.3">
      <c r="A46" s="226">
        <v>35</v>
      </c>
      <c r="B46" s="227" t="s">
        <v>376</v>
      </c>
      <c r="C46" s="228" t="s">
        <v>372</v>
      </c>
      <c r="D46" s="226" t="s">
        <v>237</v>
      </c>
      <c r="E46" s="229" t="s">
        <v>377</v>
      </c>
      <c r="F46" s="230" t="s">
        <v>378</v>
      </c>
      <c r="G46" s="12"/>
      <c r="H46" s="11"/>
      <c r="I46" s="12"/>
      <c r="J46" s="11"/>
      <c r="K46" s="12"/>
      <c r="L46" s="11"/>
      <c r="M46" s="11"/>
      <c r="N46" s="11"/>
    </row>
    <row r="47" spans="1:14" ht="18" customHeight="1" x14ac:dyDescent="0.3">
      <c r="A47" s="226">
        <v>36</v>
      </c>
      <c r="B47" s="227" t="s">
        <v>379</v>
      </c>
      <c r="C47" s="228" t="s">
        <v>380</v>
      </c>
      <c r="D47" s="226" t="s">
        <v>381</v>
      </c>
      <c r="E47" s="229" t="s">
        <v>381</v>
      </c>
      <c r="F47" s="230" t="s">
        <v>121</v>
      </c>
      <c r="G47" s="12"/>
      <c r="H47" s="11"/>
      <c r="I47" s="12"/>
      <c r="J47" s="11"/>
      <c r="K47" s="12"/>
      <c r="L47" s="11"/>
      <c r="M47" s="11"/>
      <c r="N47" s="11"/>
    </row>
    <row r="48" spans="1:14" ht="18" customHeight="1" x14ac:dyDescent="0.3">
      <c r="A48" s="231"/>
      <c r="B48" s="231" t="s">
        <v>382</v>
      </c>
      <c r="C48" s="231"/>
      <c r="D48" s="233" t="s">
        <v>383</v>
      </c>
      <c r="E48" s="235" t="s">
        <v>384</v>
      </c>
      <c r="F48" s="235" t="s">
        <v>385</v>
      </c>
      <c r="G48" s="11"/>
      <c r="H48" s="11"/>
      <c r="I48" s="12"/>
      <c r="J48" s="11"/>
      <c r="K48" s="11"/>
      <c r="L48" s="11"/>
      <c r="M48" s="11"/>
      <c r="N48" s="11"/>
    </row>
    <row r="49" spans="1:14" ht="18" customHeight="1" x14ac:dyDescent="0.3">
      <c r="A49" s="225"/>
      <c r="B49" s="236" t="s">
        <v>386</v>
      </c>
      <c r="C49" s="237"/>
      <c r="D49" s="225" t="s">
        <v>387</v>
      </c>
      <c r="E49" s="237" t="s">
        <v>388</v>
      </c>
      <c r="F49" s="225" t="s">
        <v>219</v>
      </c>
      <c r="G49" s="12"/>
      <c r="H49" s="11"/>
      <c r="I49" s="12"/>
      <c r="J49" s="11"/>
      <c r="K49" s="12"/>
      <c r="L49" s="11"/>
      <c r="M49" s="11"/>
      <c r="N49" s="11"/>
    </row>
    <row r="50" spans="1:14" ht="30.75" customHeight="1" x14ac:dyDescent="0.3">
      <c r="A50" s="11"/>
      <c r="B50" s="12"/>
      <c r="C50" s="12"/>
      <c r="D50" s="11"/>
      <c r="E50" s="12"/>
      <c r="F50" s="11"/>
      <c r="G50" s="12"/>
      <c r="H50" s="11"/>
      <c r="I50" s="12"/>
      <c r="J50" s="11"/>
      <c r="K50" s="12"/>
      <c r="L50" s="11"/>
      <c r="M50" s="11"/>
      <c r="N50" s="11"/>
    </row>
    <row r="51" spans="1:14" ht="15" customHeight="1" x14ac:dyDescent="0.3">
      <c r="A51" s="13"/>
    </row>
    <row r="52" spans="1:14" ht="21.75" customHeight="1" x14ac:dyDescent="0.3">
      <c r="A52" s="192"/>
      <c r="B52" s="192"/>
      <c r="C52" s="192"/>
      <c r="D52" s="192"/>
      <c r="E52" s="192"/>
      <c r="F52" s="192"/>
    </row>
    <row r="53" spans="1:14" ht="21.75" customHeight="1" x14ac:dyDescent="0.3">
      <c r="A53" s="192"/>
      <c r="B53" s="192"/>
      <c r="C53" s="192"/>
      <c r="D53" s="192"/>
      <c r="E53" s="192"/>
      <c r="F53" s="192"/>
    </row>
    <row r="54" spans="1:14" ht="21.75" customHeight="1" x14ac:dyDescent="0.3">
      <c r="A54" s="192"/>
      <c r="B54" s="192"/>
      <c r="C54" s="192"/>
      <c r="D54" s="192"/>
      <c r="E54" s="192"/>
      <c r="F54" s="192"/>
    </row>
    <row r="55" spans="1:14" ht="21.75" customHeight="1" x14ac:dyDescent="0.3">
      <c r="A55" s="192"/>
      <c r="B55" s="192"/>
      <c r="C55" s="192"/>
      <c r="D55" s="192"/>
      <c r="E55" s="192"/>
      <c r="F55" s="192"/>
    </row>
    <row r="56" spans="1:14" ht="21.75" customHeight="1" x14ac:dyDescent="0.3">
      <c r="A56" s="192"/>
      <c r="B56" s="192"/>
      <c r="C56" s="192"/>
      <c r="D56" s="192"/>
      <c r="E56" s="192"/>
      <c r="F56" s="192"/>
    </row>
    <row r="57" spans="1:14" ht="21.75" customHeight="1" x14ac:dyDescent="0.3">
      <c r="A57" s="192"/>
      <c r="B57" s="192"/>
      <c r="C57" s="192"/>
      <c r="D57" s="192"/>
      <c r="E57" s="192"/>
      <c r="F57" s="192"/>
    </row>
  </sheetData>
  <mergeCells count="12">
    <mergeCell ref="A56:F56"/>
    <mergeCell ref="A57:F57"/>
    <mergeCell ref="A32:F32"/>
    <mergeCell ref="A52:F52"/>
    <mergeCell ref="A53:F53"/>
    <mergeCell ref="A54:F54"/>
    <mergeCell ref="A55:F55"/>
    <mergeCell ref="A1:F1"/>
    <mergeCell ref="A2:F2"/>
    <mergeCell ref="A5:F5"/>
    <mergeCell ref="A23:F23"/>
    <mergeCell ref="A29:F2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topLeftCell="A15" zoomScaleNormal="100" workbookViewId="0">
      <selection activeCell="A41" sqref="A41"/>
    </sheetView>
  </sheetViews>
  <sheetFormatPr defaultColWidth="8.6640625" defaultRowHeight="14.4" x14ac:dyDescent="0.3"/>
  <cols>
    <col min="1" max="1" width="49.109375" customWidth="1"/>
    <col min="2" max="6" width="9.21875" customWidth="1"/>
  </cols>
  <sheetData>
    <row r="1" spans="1:6" ht="21.75" customHeight="1" x14ac:dyDescent="0.3">
      <c r="A1" s="208" t="s">
        <v>389</v>
      </c>
      <c r="B1" s="208"/>
      <c r="C1" s="208"/>
      <c r="D1" s="208"/>
      <c r="E1" s="208"/>
      <c r="F1" s="208"/>
    </row>
    <row r="2" spans="1:6" ht="13.5" customHeight="1" x14ac:dyDescent="0.3">
      <c r="A2" s="193" t="s">
        <v>390</v>
      </c>
      <c r="B2" s="193"/>
      <c r="C2" s="193"/>
      <c r="D2" s="193"/>
      <c r="E2" s="193"/>
      <c r="F2" s="193"/>
    </row>
    <row r="3" spans="1:6" ht="30" customHeight="1" x14ac:dyDescent="0.3">
      <c r="A3" s="209" t="s">
        <v>391</v>
      </c>
      <c r="B3" s="209" t="s">
        <v>392</v>
      </c>
      <c r="C3" s="209" t="s">
        <v>393</v>
      </c>
      <c r="D3" s="209" t="s">
        <v>394</v>
      </c>
      <c r="E3" s="209" t="s">
        <v>395</v>
      </c>
      <c r="F3" s="209" t="s">
        <v>396</v>
      </c>
    </row>
    <row r="4" spans="1:6" ht="13.5" customHeight="1" x14ac:dyDescent="0.3">
      <c r="A4" s="210" t="s">
        <v>397</v>
      </c>
      <c r="B4" s="211"/>
      <c r="C4" s="211"/>
      <c r="D4" s="211"/>
      <c r="E4" s="211"/>
      <c r="F4" s="211"/>
    </row>
    <row r="5" spans="1:6" ht="14.25" customHeight="1" x14ac:dyDescent="0.3">
      <c r="A5" s="212" t="s">
        <v>398</v>
      </c>
      <c r="B5" s="213">
        <v>155672.46</v>
      </c>
      <c r="C5" s="213">
        <v>181661.42</v>
      </c>
      <c r="D5" s="213">
        <v>221112.91</v>
      </c>
      <c r="E5" s="213">
        <v>254208.65</v>
      </c>
      <c r="F5" s="213">
        <v>284225.19</v>
      </c>
    </row>
    <row r="6" spans="1:6" ht="14.25" customHeight="1" x14ac:dyDescent="0.3">
      <c r="A6" s="214" t="s">
        <v>399</v>
      </c>
      <c r="B6" s="215">
        <v>155672.46</v>
      </c>
      <c r="C6" s="215">
        <v>181661.42</v>
      </c>
      <c r="D6" s="215">
        <v>221112.91</v>
      </c>
      <c r="E6" s="215">
        <v>254208.65</v>
      </c>
      <c r="F6" s="215">
        <v>284225.19</v>
      </c>
    </row>
    <row r="7" spans="1:6" ht="14.25" customHeight="1" x14ac:dyDescent="0.3">
      <c r="A7" s="216" t="s">
        <v>400</v>
      </c>
      <c r="B7" s="213">
        <v>848.77</v>
      </c>
      <c r="C7" s="213">
        <v>1679.28</v>
      </c>
      <c r="D7" s="213">
        <v>0</v>
      </c>
      <c r="E7" s="213">
        <v>1525.8</v>
      </c>
      <c r="F7" s="213">
        <v>1649.17</v>
      </c>
    </row>
    <row r="8" spans="1:6" ht="14.25" customHeight="1" x14ac:dyDescent="0.3">
      <c r="A8" s="217" t="s">
        <v>401</v>
      </c>
      <c r="B8" s="218">
        <v>156521.23000000001</v>
      </c>
      <c r="C8" s="218">
        <v>183340.7</v>
      </c>
      <c r="D8" s="218">
        <v>221112.91</v>
      </c>
      <c r="E8" s="218">
        <v>255734.45</v>
      </c>
      <c r="F8" s="218">
        <v>285874.36</v>
      </c>
    </row>
    <row r="9" spans="1:6" ht="14.25" customHeight="1" x14ac:dyDescent="0.3">
      <c r="A9" s="216" t="s">
        <v>402</v>
      </c>
      <c r="B9" s="213">
        <v>2267.08</v>
      </c>
      <c r="C9" s="213">
        <v>2929.17</v>
      </c>
      <c r="D9" s="213">
        <v>4158.03</v>
      </c>
      <c r="E9" s="213">
        <v>4124.82</v>
      </c>
      <c r="F9" s="213">
        <v>5760.68</v>
      </c>
    </row>
    <row r="10" spans="1:6" ht="14.25" customHeight="1" x14ac:dyDescent="0.3">
      <c r="A10" s="219" t="s">
        <v>403</v>
      </c>
      <c r="B10" s="220">
        <v>158788.31</v>
      </c>
      <c r="C10" s="220">
        <v>186269.87</v>
      </c>
      <c r="D10" s="220">
        <v>225270.94</v>
      </c>
      <c r="E10" s="220">
        <v>259859.27</v>
      </c>
      <c r="F10" s="220">
        <v>291635.03999999998</v>
      </c>
    </row>
    <row r="11" spans="1:6" ht="13.5" customHeight="1" x14ac:dyDescent="0.3">
      <c r="A11" s="210" t="s">
        <v>404</v>
      </c>
      <c r="B11" s="211"/>
      <c r="C11" s="211"/>
      <c r="D11" s="211"/>
      <c r="E11" s="211"/>
      <c r="F11" s="211"/>
    </row>
    <row r="12" spans="1:6" ht="14.25" customHeight="1" x14ac:dyDescent="0.3">
      <c r="A12" s="216" t="s">
        <v>405</v>
      </c>
      <c r="B12" s="213">
        <v>17100.84</v>
      </c>
      <c r="C12" s="213">
        <v>18995.11</v>
      </c>
      <c r="D12" s="213">
        <v>19442.25</v>
      </c>
      <c r="E12" s="213">
        <v>27655.02</v>
      </c>
      <c r="F12" s="213">
        <v>33031.760000000002</v>
      </c>
    </row>
    <row r="13" spans="1:6" ht="14.25" customHeight="1" x14ac:dyDescent="0.3">
      <c r="A13" s="221" t="s">
        <v>406</v>
      </c>
      <c r="B13" s="215">
        <v>1069.5</v>
      </c>
      <c r="C13" s="215">
        <v>1052.8599999999999</v>
      </c>
      <c r="D13" s="215">
        <v>1063.77</v>
      </c>
      <c r="E13" s="215">
        <v>1402.14</v>
      </c>
      <c r="F13" s="215">
        <v>1262.3</v>
      </c>
    </row>
    <row r="14" spans="1:6" ht="14.25" customHeight="1" x14ac:dyDescent="0.3">
      <c r="A14" s="216" t="s">
        <v>407</v>
      </c>
      <c r="B14" s="213">
        <v>83644.77</v>
      </c>
      <c r="C14" s="213">
        <v>99723.94</v>
      </c>
      <c r="D14" s="213">
        <v>124501.73</v>
      </c>
      <c r="E14" s="213">
        <v>142326.53</v>
      </c>
      <c r="F14" s="213">
        <v>153510.26999999999</v>
      </c>
    </row>
    <row r="15" spans="1:6" ht="14.25" customHeight="1" x14ac:dyDescent="0.3">
      <c r="A15" s="221" t="s">
        <v>408</v>
      </c>
      <c r="B15" s="215">
        <v>-2076.6</v>
      </c>
      <c r="C15" s="215">
        <v>-3156.64</v>
      </c>
      <c r="D15" s="215">
        <v>1021.07</v>
      </c>
      <c r="E15" s="215">
        <v>-410.79</v>
      </c>
      <c r="F15" s="215">
        <v>-1963.12</v>
      </c>
    </row>
    <row r="16" spans="1:6" ht="14.25" customHeight="1" x14ac:dyDescent="0.3">
      <c r="A16" s="216" t="s">
        <v>409</v>
      </c>
      <c r="B16" s="213">
        <v>29733.53</v>
      </c>
      <c r="C16" s="213">
        <v>37214.11</v>
      </c>
      <c r="D16" s="213">
        <v>41171.019999999997</v>
      </c>
      <c r="E16" s="213">
        <v>46768.68</v>
      </c>
      <c r="F16" s="213">
        <v>52187.22</v>
      </c>
    </row>
    <row r="17" spans="1:6" ht="14.25" customHeight="1" x14ac:dyDescent="0.3">
      <c r="A17" s="221" t="s">
        <v>410</v>
      </c>
      <c r="B17" s="215">
        <v>3125.7</v>
      </c>
      <c r="C17" s="215">
        <v>3207.16</v>
      </c>
      <c r="D17" s="215">
        <v>3545.85</v>
      </c>
      <c r="E17" s="215">
        <v>3334.37</v>
      </c>
      <c r="F17" s="215">
        <v>9844.16</v>
      </c>
    </row>
    <row r="18" spans="1:6" ht="14.25" customHeight="1" x14ac:dyDescent="0.3">
      <c r="A18" s="216" t="s">
        <v>411</v>
      </c>
      <c r="B18" s="213">
        <v>2947.95</v>
      </c>
      <c r="C18" s="213">
        <v>3502.25</v>
      </c>
      <c r="D18" s="213">
        <v>3682.33</v>
      </c>
      <c r="E18" s="213">
        <v>4121.18</v>
      </c>
      <c r="F18" s="213">
        <v>4364.75</v>
      </c>
    </row>
    <row r="19" spans="1:6" ht="14.25" customHeight="1" x14ac:dyDescent="0.3">
      <c r="A19" s="221" t="s">
        <v>412</v>
      </c>
      <c r="B19" s="215">
        <v>8831.89</v>
      </c>
      <c r="C19" s="215">
        <v>8758.0400000000009</v>
      </c>
      <c r="D19" s="215">
        <v>10419.42</v>
      </c>
      <c r="E19" s="215">
        <v>11558.13</v>
      </c>
      <c r="F19" s="215">
        <v>11699.45</v>
      </c>
    </row>
    <row r="20" spans="1:6" ht="14.25" customHeight="1" x14ac:dyDescent="0.3">
      <c r="A20" s="219" t="s">
        <v>413</v>
      </c>
      <c r="B20" s="220">
        <v>144377.57999999999</v>
      </c>
      <c r="C20" s="220">
        <v>169296.83</v>
      </c>
      <c r="D20" s="220">
        <v>204847.44</v>
      </c>
      <c r="E20" s="220">
        <v>236755.26</v>
      </c>
      <c r="F20" s="220">
        <v>263936.78999999998</v>
      </c>
    </row>
    <row r="21" spans="1:6" ht="13.5" customHeight="1" x14ac:dyDescent="0.3">
      <c r="A21" s="210" t="s">
        <v>414</v>
      </c>
      <c r="B21" s="211"/>
      <c r="C21" s="211"/>
      <c r="D21" s="211"/>
      <c r="E21" s="211"/>
      <c r="F21" s="211"/>
    </row>
    <row r="22" spans="1:6" ht="14.25" customHeight="1" x14ac:dyDescent="0.3">
      <c r="A22" s="217" t="s">
        <v>415</v>
      </c>
      <c r="B22" s="218">
        <v>14410.73</v>
      </c>
      <c r="C22" s="218">
        <v>16973.04</v>
      </c>
      <c r="D22" s="218">
        <v>20423.5</v>
      </c>
      <c r="E22" s="218">
        <v>23104.01</v>
      </c>
      <c r="F22" s="218">
        <v>27698.25</v>
      </c>
    </row>
    <row r="23" spans="1:6" ht="14.25" customHeight="1" x14ac:dyDescent="0.3">
      <c r="A23" s="221" t="s">
        <v>416</v>
      </c>
      <c r="B23" s="215">
        <v>96.93</v>
      </c>
      <c r="C23" s="215">
        <v>135.99</v>
      </c>
      <c r="D23" s="215">
        <v>93.61</v>
      </c>
      <c r="E23" s="215">
        <v>474.78</v>
      </c>
      <c r="F23" s="215">
        <v>-1722.44</v>
      </c>
    </row>
    <row r="24" spans="1:6" ht="14.25" customHeight="1" x14ac:dyDescent="0.3">
      <c r="A24" s="217" t="s">
        <v>417</v>
      </c>
      <c r="B24" s="218">
        <v>14507.66</v>
      </c>
      <c r="C24" s="218">
        <v>17109.03</v>
      </c>
      <c r="D24" s="218">
        <v>20517.11</v>
      </c>
      <c r="E24" s="218">
        <v>23578.79</v>
      </c>
      <c r="F24" s="218">
        <v>25975.81</v>
      </c>
    </row>
    <row r="25" spans="1:6" ht="13.5" customHeight="1" x14ac:dyDescent="0.3">
      <c r="A25" s="222" t="s">
        <v>418</v>
      </c>
      <c r="B25" s="211"/>
      <c r="C25" s="211"/>
      <c r="D25" s="211"/>
      <c r="E25" s="211"/>
      <c r="F25" s="211"/>
    </row>
    <row r="26" spans="1:6" ht="14.25" customHeight="1" x14ac:dyDescent="0.3">
      <c r="A26" s="216" t="s">
        <v>419</v>
      </c>
      <c r="B26" s="213">
        <v>4512.09</v>
      </c>
      <c r="C26" s="213">
        <v>5055.17</v>
      </c>
      <c r="D26" s="213">
        <v>5127.7</v>
      </c>
      <c r="E26" s="213">
        <v>6100.82</v>
      </c>
      <c r="F26" s="213">
        <v>6752.96</v>
      </c>
    </row>
    <row r="27" spans="1:6" ht="14.25" customHeight="1" x14ac:dyDescent="0.3">
      <c r="A27" s="221" t="s">
        <v>420</v>
      </c>
      <c r="B27" s="215">
        <v>-295.48</v>
      </c>
      <c r="C27" s="215">
        <v>-571.01</v>
      </c>
      <c r="D27" s="215">
        <v>-180.31</v>
      </c>
      <c r="E27" s="215">
        <v>-209.42</v>
      </c>
      <c r="F27" s="215">
        <v>63.45</v>
      </c>
    </row>
    <row r="28" spans="1:6" ht="14.25" customHeight="1" x14ac:dyDescent="0.3">
      <c r="A28" s="217" t="s">
        <v>421</v>
      </c>
      <c r="B28" s="218">
        <v>4216.6099999999997</v>
      </c>
      <c r="C28" s="218">
        <v>4484.16</v>
      </c>
      <c r="D28" s="218">
        <v>4947.3900000000003</v>
      </c>
      <c r="E28" s="218">
        <v>5891.4</v>
      </c>
      <c r="F28" s="218">
        <v>6816.41</v>
      </c>
    </row>
    <row r="29" spans="1:6" ht="14.25" customHeight="1" x14ac:dyDescent="0.3">
      <c r="A29" s="217" t="s">
        <v>422</v>
      </c>
      <c r="B29" s="218">
        <v>10291.049999999999</v>
      </c>
      <c r="C29" s="218">
        <v>12624.87</v>
      </c>
      <c r="D29" s="218">
        <v>15569.72</v>
      </c>
      <c r="E29" s="218">
        <v>17687.39</v>
      </c>
      <c r="F29" s="218">
        <v>19159.400000000001</v>
      </c>
    </row>
    <row r="30" spans="1:6" ht="14.25" customHeight="1" x14ac:dyDescent="0.3">
      <c r="A30" s="217" t="s">
        <v>423</v>
      </c>
      <c r="B30" s="218">
        <v>10291.049999999999</v>
      </c>
      <c r="C30" s="218">
        <v>12624.87</v>
      </c>
      <c r="D30" s="218">
        <v>15569.72</v>
      </c>
      <c r="E30" s="218">
        <v>17687.39</v>
      </c>
      <c r="F30" s="218">
        <v>19159.400000000001</v>
      </c>
    </row>
    <row r="31" spans="1:6" ht="14.25" customHeight="1" x14ac:dyDescent="0.3">
      <c r="A31" s="217" t="s">
        <v>424</v>
      </c>
      <c r="B31" s="218">
        <v>10291.049999999999</v>
      </c>
      <c r="C31" s="218">
        <v>12624.87</v>
      </c>
      <c r="D31" s="218">
        <v>15569.72</v>
      </c>
      <c r="E31" s="218">
        <v>17687.39</v>
      </c>
      <c r="F31" s="218">
        <v>19159.400000000001</v>
      </c>
    </row>
    <row r="32" spans="1:6" ht="14.25" customHeight="1" x14ac:dyDescent="0.3">
      <c r="A32" s="216" t="s">
        <v>425</v>
      </c>
      <c r="B32" s="213">
        <v>-1749.91</v>
      </c>
      <c r="C32" s="213">
        <v>-2059.9</v>
      </c>
      <c r="D32" s="213">
        <v>-2487.9899999999998</v>
      </c>
      <c r="E32" s="213">
        <v>-2636.22</v>
      </c>
      <c r="F32" s="213">
        <v>-2869.89</v>
      </c>
    </row>
    <row r="33" spans="1:6" ht="14.25" customHeight="1" x14ac:dyDescent="0.3">
      <c r="A33" s="221" t="s">
        <v>426</v>
      </c>
      <c r="B33" s="215">
        <v>128.19</v>
      </c>
      <c r="C33" s="215">
        <v>-94.25</v>
      </c>
      <c r="D33" s="215">
        <v>-22.62</v>
      </c>
      <c r="E33" s="215">
        <v>-14.06</v>
      </c>
      <c r="F33" s="215">
        <v>-205.52</v>
      </c>
    </row>
    <row r="34" spans="1:6" ht="14.25" customHeight="1" x14ac:dyDescent="0.3">
      <c r="A34" s="219" t="s">
        <v>427</v>
      </c>
      <c r="B34" s="220">
        <v>8669.33</v>
      </c>
      <c r="C34" s="220">
        <v>10470.719999999999</v>
      </c>
      <c r="D34" s="220">
        <v>13059.11</v>
      </c>
      <c r="E34" s="220">
        <v>15037.11</v>
      </c>
      <c r="F34" s="220">
        <v>16083.99</v>
      </c>
    </row>
    <row r="35" spans="1:6" ht="13.5" customHeight="1" x14ac:dyDescent="0.3">
      <c r="A35" s="222" t="s">
        <v>428</v>
      </c>
      <c r="B35" s="211"/>
      <c r="C35" s="211"/>
      <c r="D35" s="211"/>
      <c r="E35" s="211"/>
      <c r="F35" s="211"/>
    </row>
    <row r="36" spans="1:6" ht="14.25" customHeight="1" x14ac:dyDescent="0.3">
      <c r="A36" s="216" t="s">
        <v>429</v>
      </c>
      <c r="B36" s="213">
        <v>62</v>
      </c>
      <c r="C36" s="213">
        <v>75</v>
      </c>
      <c r="D36" s="213">
        <v>94</v>
      </c>
      <c r="E36" s="213">
        <v>109</v>
      </c>
      <c r="F36" s="213">
        <v>117</v>
      </c>
    </row>
    <row r="37" spans="1:6" ht="14.25" customHeight="1" x14ac:dyDescent="0.3">
      <c r="A37" s="221" t="s">
        <v>430</v>
      </c>
      <c r="B37" s="215">
        <v>62</v>
      </c>
      <c r="C37" s="215">
        <v>74</v>
      </c>
      <c r="D37" s="215">
        <v>94</v>
      </c>
      <c r="E37" s="215">
        <v>109</v>
      </c>
      <c r="F37" s="215">
        <v>117</v>
      </c>
    </row>
    <row r="38" spans="1:6" ht="13.5" customHeight="1" x14ac:dyDescent="0.3">
      <c r="A38" s="222" t="s">
        <v>431</v>
      </c>
      <c r="B38" s="211"/>
      <c r="C38" s="211"/>
      <c r="D38" s="211"/>
      <c r="E38" s="211"/>
      <c r="F38" s="211"/>
    </row>
    <row r="39" spans="1:6" ht="14.25" customHeight="1" x14ac:dyDescent="0.3">
      <c r="A39" s="216" t="s">
        <v>432</v>
      </c>
      <c r="B39" s="213">
        <v>2528.46</v>
      </c>
      <c r="C39" s="213">
        <v>3091.42</v>
      </c>
      <c r="D39" s="213">
        <v>4216.95</v>
      </c>
      <c r="E39" s="213">
        <v>3849.57</v>
      </c>
      <c r="F39" s="213">
        <v>0</v>
      </c>
    </row>
    <row r="40" spans="1:6" ht="14.25" customHeight="1" x14ac:dyDescent="0.3">
      <c r="A40" s="194"/>
      <c r="B40" s="194"/>
      <c r="C40" s="194"/>
      <c r="D40" s="194"/>
      <c r="E40" s="194"/>
      <c r="F40" s="194"/>
    </row>
  </sheetData>
  <mergeCells count="3">
    <mergeCell ref="A1:F1"/>
    <mergeCell ref="A2:F2"/>
    <mergeCell ref="A40:F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7"/>
  <sheetViews>
    <sheetView zoomScaleNormal="100" workbookViewId="0">
      <selection activeCell="A6" sqref="A6:F56"/>
    </sheetView>
  </sheetViews>
  <sheetFormatPr defaultColWidth="8.6640625" defaultRowHeight="14.4" x14ac:dyDescent="0.3"/>
  <cols>
    <col min="1" max="1" width="37.77734375" customWidth="1"/>
    <col min="2" max="6" width="9.21875" customWidth="1"/>
    <col min="9" max="9" width="19.33203125" customWidth="1"/>
  </cols>
  <sheetData>
    <row r="1" spans="1:9" ht="21.75" customHeight="1" x14ac:dyDescent="0.3">
      <c r="A1" s="208" t="s">
        <v>433</v>
      </c>
      <c r="B1" s="208"/>
      <c r="C1" s="208"/>
      <c r="D1" s="208"/>
      <c r="E1" s="208"/>
      <c r="F1" s="208"/>
    </row>
    <row r="2" spans="1:9" ht="14.25" customHeight="1" x14ac:dyDescent="0.3">
      <c r="A2" s="193" t="s">
        <v>390</v>
      </c>
      <c r="B2" s="193"/>
      <c r="C2" s="193"/>
      <c r="D2" s="193"/>
      <c r="E2" s="193"/>
      <c r="F2" s="193"/>
    </row>
    <row r="3" spans="1:9" ht="30" customHeight="1" x14ac:dyDescent="0.3">
      <c r="A3" s="252" t="s">
        <v>391</v>
      </c>
      <c r="B3" s="252" t="s">
        <v>392</v>
      </c>
      <c r="C3" s="252" t="s">
        <v>393</v>
      </c>
      <c r="D3" s="252" t="s">
        <v>394</v>
      </c>
      <c r="E3" s="252" t="s">
        <v>395</v>
      </c>
      <c r="F3" s="252" t="s">
        <v>396</v>
      </c>
    </row>
    <row r="4" spans="1:9" ht="14.25" customHeight="1" x14ac:dyDescent="0.3">
      <c r="A4" s="253" t="s">
        <v>434</v>
      </c>
      <c r="B4" s="253"/>
      <c r="C4" s="253"/>
      <c r="D4" s="253"/>
      <c r="E4" s="253"/>
      <c r="F4" s="253"/>
      <c r="I4" s="15" t="s">
        <v>435</v>
      </c>
    </row>
    <row r="5" spans="1:9" ht="14.25" customHeight="1" x14ac:dyDescent="0.3">
      <c r="A5" s="254" t="s">
        <v>436</v>
      </c>
      <c r="B5" s="254"/>
      <c r="C5" s="254"/>
      <c r="D5" s="254"/>
      <c r="E5" s="254"/>
      <c r="F5" s="254"/>
      <c r="I5" s="15" t="s">
        <v>437</v>
      </c>
    </row>
    <row r="6" spans="1:9" ht="14.25" customHeight="1" x14ac:dyDescent="0.3">
      <c r="A6" s="216" t="s">
        <v>438</v>
      </c>
      <c r="B6" s="213">
        <v>281.01</v>
      </c>
      <c r="C6" s="213">
        <v>281.10000000000002</v>
      </c>
      <c r="D6" s="213">
        <v>274.93</v>
      </c>
      <c r="E6" s="213">
        <v>275.04000000000002</v>
      </c>
      <c r="F6" s="213">
        <v>275.13</v>
      </c>
      <c r="I6" s="15">
        <f>E6/2</f>
        <v>137.52000000000001</v>
      </c>
    </row>
    <row r="7" spans="1:9" ht="14.25" customHeight="1" x14ac:dyDescent="0.3">
      <c r="A7" s="221" t="s">
        <v>439</v>
      </c>
      <c r="B7" s="215">
        <v>215.65</v>
      </c>
      <c r="C7" s="215">
        <v>0</v>
      </c>
      <c r="D7" s="215">
        <v>0</v>
      </c>
      <c r="E7" s="215">
        <v>0</v>
      </c>
      <c r="F7" s="215">
        <v>0</v>
      </c>
      <c r="I7" s="15" t="s">
        <v>440</v>
      </c>
    </row>
    <row r="8" spans="1:9" ht="14.25" customHeight="1" x14ac:dyDescent="0.3">
      <c r="A8" s="217" t="s">
        <v>441</v>
      </c>
      <c r="B8" s="218">
        <v>496.66</v>
      </c>
      <c r="C8" s="218">
        <v>281.10000000000002</v>
      </c>
      <c r="D8" s="218">
        <v>274.93</v>
      </c>
      <c r="E8" s="218">
        <v>275.04000000000002</v>
      </c>
      <c r="F8" s="218">
        <v>275.13</v>
      </c>
      <c r="I8" s="15">
        <f>578632/4206</f>
        <v>137.57299096528769</v>
      </c>
    </row>
    <row r="9" spans="1:9" ht="14.25" customHeight="1" x14ac:dyDescent="0.3">
      <c r="A9" s="216" t="s">
        <v>442</v>
      </c>
      <c r="B9" s="213">
        <v>81755</v>
      </c>
      <c r="C9" s="213">
        <v>88577.76</v>
      </c>
      <c r="D9" s="213">
        <v>85533.77</v>
      </c>
      <c r="E9" s="213">
        <v>97380.56</v>
      </c>
      <c r="F9" s="213">
        <v>109014.67</v>
      </c>
      <c r="I9" s="15" t="s">
        <v>443</v>
      </c>
    </row>
    <row r="10" spans="1:9" ht="14.25" customHeight="1" x14ac:dyDescent="0.3">
      <c r="A10" s="217" t="s">
        <v>444</v>
      </c>
      <c r="B10" s="218">
        <v>81755</v>
      </c>
      <c r="C10" s="218">
        <v>88577.76</v>
      </c>
      <c r="D10" s="218">
        <v>85533.77</v>
      </c>
      <c r="E10" s="218">
        <v>97380.56</v>
      </c>
      <c r="F10" s="218">
        <v>109014.67</v>
      </c>
      <c r="I10" s="15">
        <f>'Consolidated P&amp;L'!E39/'Consolidated Balance sheet'!I8</f>
        <v>27.982018657799777</v>
      </c>
    </row>
    <row r="11" spans="1:9" ht="14.25" customHeight="1" x14ac:dyDescent="0.3">
      <c r="A11" s="216" t="s">
        <v>445</v>
      </c>
      <c r="B11" s="213">
        <v>371.65</v>
      </c>
      <c r="C11" s="213">
        <v>467.09</v>
      </c>
      <c r="D11" s="213">
        <v>550.54</v>
      </c>
      <c r="E11" s="213">
        <v>0</v>
      </c>
      <c r="F11" s="213">
        <v>0</v>
      </c>
    </row>
    <row r="12" spans="1:9" ht="14.25" customHeight="1" x14ac:dyDescent="0.3">
      <c r="A12" s="219" t="s">
        <v>446</v>
      </c>
      <c r="B12" s="220">
        <v>82623.31</v>
      </c>
      <c r="C12" s="220">
        <v>89325.95</v>
      </c>
      <c r="D12" s="220">
        <v>86359.24</v>
      </c>
      <c r="E12" s="220">
        <v>97655.6</v>
      </c>
      <c r="F12" s="220">
        <v>109289.8</v>
      </c>
    </row>
    <row r="13" spans="1:9" ht="14.25" customHeight="1" x14ac:dyDescent="0.3">
      <c r="A13" s="216" t="s">
        <v>425</v>
      </c>
      <c r="B13" s="213">
        <v>12966.07</v>
      </c>
      <c r="C13" s="213">
        <v>14241.27</v>
      </c>
      <c r="D13" s="213">
        <v>16190.42</v>
      </c>
      <c r="E13" s="213">
        <v>17748.080000000002</v>
      </c>
      <c r="F13" s="213">
        <v>19240.66</v>
      </c>
    </row>
    <row r="14" spans="1:9" ht="14.25" customHeight="1" x14ac:dyDescent="0.3">
      <c r="A14" s="222" t="s">
        <v>447</v>
      </c>
      <c r="B14" s="222"/>
      <c r="C14" s="222"/>
      <c r="D14" s="222"/>
      <c r="E14" s="222"/>
      <c r="F14" s="222"/>
    </row>
    <row r="15" spans="1:9" ht="14.25" customHeight="1" x14ac:dyDescent="0.3">
      <c r="A15" s="216" t="s">
        <v>448</v>
      </c>
      <c r="B15" s="213">
        <v>61402.66</v>
      </c>
      <c r="C15" s="213">
        <v>61217.68</v>
      </c>
      <c r="D15" s="213">
        <v>56506.97</v>
      </c>
      <c r="E15" s="213">
        <v>57503.34</v>
      </c>
      <c r="F15" s="213">
        <v>63738.59</v>
      </c>
    </row>
    <row r="16" spans="1:9" ht="14.25" customHeight="1" x14ac:dyDescent="0.3">
      <c r="A16" s="221" t="s">
        <v>449</v>
      </c>
      <c r="B16" s="215">
        <v>1039.33</v>
      </c>
      <c r="C16" s="215">
        <v>630.42999999999995</v>
      </c>
      <c r="D16" s="215">
        <v>533.63</v>
      </c>
      <c r="E16" s="215">
        <v>410.01</v>
      </c>
      <c r="F16" s="215">
        <v>167.11</v>
      </c>
    </row>
    <row r="17" spans="1:6" ht="14.25" customHeight="1" x14ac:dyDescent="0.3">
      <c r="A17" s="216" t="s">
        <v>450</v>
      </c>
      <c r="B17" s="213">
        <v>1766.25</v>
      </c>
      <c r="C17" s="213">
        <v>2001</v>
      </c>
      <c r="D17" s="213">
        <v>2448.87</v>
      </c>
      <c r="E17" s="213">
        <v>3112.16</v>
      </c>
      <c r="F17" s="213">
        <v>4783.7299999999996</v>
      </c>
    </row>
    <row r="18" spans="1:6" ht="14.25" customHeight="1" x14ac:dyDescent="0.3">
      <c r="A18" s="221" t="s">
        <v>451</v>
      </c>
      <c r="B18" s="215">
        <v>817.77</v>
      </c>
      <c r="C18" s="215">
        <v>869.99</v>
      </c>
      <c r="D18" s="215">
        <v>987.38</v>
      </c>
      <c r="E18" s="215">
        <v>1124.01</v>
      </c>
      <c r="F18" s="215">
        <v>832.48</v>
      </c>
    </row>
    <row r="19" spans="1:6" ht="14.25" customHeight="1" x14ac:dyDescent="0.3">
      <c r="A19" s="217" t="s">
        <v>452</v>
      </c>
      <c r="B19" s="218">
        <v>65026.01</v>
      </c>
      <c r="C19" s="218">
        <v>64719.1</v>
      </c>
      <c r="D19" s="218">
        <v>60476.85</v>
      </c>
      <c r="E19" s="218">
        <v>62149.52</v>
      </c>
      <c r="F19" s="218">
        <v>69521.91</v>
      </c>
    </row>
    <row r="20" spans="1:6" ht="14.25" customHeight="1" x14ac:dyDescent="0.3">
      <c r="A20" s="222" t="s">
        <v>453</v>
      </c>
      <c r="B20" s="222"/>
      <c r="C20" s="222"/>
      <c r="D20" s="222"/>
      <c r="E20" s="222"/>
      <c r="F20" s="222"/>
    </row>
    <row r="21" spans="1:6" ht="14.25" customHeight="1" x14ac:dyDescent="0.3">
      <c r="A21" s="216" t="s">
        <v>454</v>
      </c>
      <c r="B21" s="213">
        <v>61849.919999999998</v>
      </c>
      <c r="C21" s="213">
        <v>57295.7</v>
      </c>
      <c r="D21" s="213">
        <v>57532.800000000003</v>
      </c>
      <c r="E21" s="213">
        <v>72056</v>
      </c>
      <c r="F21" s="213">
        <v>57944.43</v>
      </c>
    </row>
    <row r="22" spans="1:6" ht="14.25" customHeight="1" x14ac:dyDescent="0.3">
      <c r="A22" s="221" t="s">
        <v>455</v>
      </c>
      <c r="B22" s="215">
        <v>51144.24</v>
      </c>
      <c r="C22" s="215">
        <v>49784.12</v>
      </c>
      <c r="D22" s="215">
        <v>53292.88</v>
      </c>
      <c r="E22" s="215">
        <v>52459.34</v>
      </c>
      <c r="F22" s="215">
        <v>69455.63</v>
      </c>
    </row>
    <row r="23" spans="1:6" ht="14.25" customHeight="1" x14ac:dyDescent="0.3">
      <c r="A23" s="216" t="s">
        <v>456</v>
      </c>
      <c r="B23" s="213">
        <v>43083.51</v>
      </c>
      <c r="C23" s="213">
        <v>51492.7</v>
      </c>
      <c r="D23" s="213">
        <v>62317.54</v>
      </c>
      <c r="E23" s="213">
        <v>72763.89</v>
      </c>
      <c r="F23" s="213">
        <v>122088.42</v>
      </c>
    </row>
    <row r="24" spans="1:6" ht="14.25" customHeight="1" x14ac:dyDescent="0.3">
      <c r="A24" s="221" t="s">
        <v>457</v>
      </c>
      <c r="B24" s="215">
        <v>3355.86</v>
      </c>
      <c r="C24" s="215">
        <v>3493.47</v>
      </c>
      <c r="D24" s="215">
        <v>3457.51</v>
      </c>
      <c r="E24" s="215">
        <v>4691.67</v>
      </c>
      <c r="F24" s="215">
        <v>5009.03</v>
      </c>
    </row>
    <row r="25" spans="1:6" ht="14.25" customHeight="1" x14ac:dyDescent="0.3">
      <c r="A25" s="217" t="s">
        <v>458</v>
      </c>
      <c r="B25" s="218">
        <v>159433.53</v>
      </c>
      <c r="C25" s="218">
        <v>162065.99</v>
      </c>
      <c r="D25" s="218">
        <v>176600.73</v>
      </c>
      <c r="E25" s="218">
        <v>201970.9</v>
      </c>
      <c r="F25" s="218">
        <v>254497.51</v>
      </c>
    </row>
    <row r="26" spans="1:6" ht="14.25" customHeight="1" x14ac:dyDescent="0.3">
      <c r="A26" s="219" t="s">
        <v>459</v>
      </c>
      <c r="B26" s="220">
        <v>320048.92</v>
      </c>
      <c r="C26" s="220">
        <v>330352.31</v>
      </c>
      <c r="D26" s="220">
        <v>339627.24</v>
      </c>
      <c r="E26" s="220">
        <v>379524.1</v>
      </c>
      <c r="F26" s="220">
        <v>452549.88</v>
      </c>
    </row>
    <row r="27" spans="1:6" ht="14.25" customHeight="1" x14ac:dyDescent="0.3">
      <c r="A27" s="210" t="s">
        <v>460</v>
      </c>
      <c r="B27" s="210"/>
      <c r="C27" s="210"/>
      <c r="D27" s="210"/>
      <c r="E27" s="210"/>
      <c r="F27" s="210"/>
    </row>
    <row r="28" spans="1:6" ht="14.25" customHeight="1" x14ac:dyDescent="0.3">
      <c r="A28" s="222" t="s">
        <v>461</v>
      </c>
      <c r="B28" s="222"/>
      <c r="C28" s="222"/>
      <c r="D28" s="222"/>
      <c r="E28" s="222"/>
      <c r="F28" s="222"/>
    </row>
    <row r="29" spans="1:6" ht="14.25" customHeight="1" x14ac:dyDescent="0.3">
      <c r="A29" s="216" t="s">
        <v>462</v>
      </c>
      <c r="B29" s="213">
        <v>16530.47</v>
      </c>
      <c r="C29" s="213">
        <v>16834.37</v>
      </c>
      <c r="D29" s="213">
        <v>17778.419999999998</v>
      </c>
      <c r="E29" s="213">
        <v>18656.21</v>
      </c>
      <c r="F29" s="213">
        <v>20557.16</v>
      </c>
    </row>
    <row r="30" spans="1:6" ht="14.25" customHeight="1" x14ac:dyDescent="0.3">
      <c r="A30" s="221" t="s">
        <v>463</v>
      </c>
      <c r="B30" s="215">
        <v>18729.37</v>
      </c>
      <c r="C30" s="215">
        <v>18007.98</v>
      </c>
      <c r="D30" s="215">
        <v>17384.52</v>
      </c>
      <c r="E30" s="215">
        <v>17050.759999999998</v>
      </c>
      <c r="F30" s="215">
        <v>1828.21</v>
      </c>
    </row>
    <row r="31" spans="1:6" ht="14.25" customHeight="1" x14ac:dyDescent="0.3">
      <c r="A31" s="216" t="s">
        <v>464</v>
      </c>
      <c r="B31" s="213">
        <v>1170.32</v>
      </c>
      <c r="C31" s="213">
        <v>2949.09</v>
      </c>
      <c r="D31" s="213">
        <v>2897.04</v>
      </c>
      <c r="E31" s="213">
        <v>2390.86</v>
      </c>
      <c r="F31" s="213">
        <v>3036.25</v>
      </c>
    </row>
    <row r="32" spans="1:6" ht="14.25" customHeight="1" x14ac:dyDescent="0.3">
      <c r="A32" s="221" t="s">
        <v>465</v>
      </c>
      <c r="B32" s="215">
        <v>79.23</v>
      </c>
      <c r="C32" s="215">
        <v>116.48</v>
      </c>
      <c r="D32" s="215">
        <v>147.97</v>
      </c>
      <c r="E32" s="215">
        <v>197.82</v>
      </c>
      <c r="F32" s="215">
        <v>274.7</v>
      </c>
    </row>
    <row r="33" spans="1:6" ht="14.25" customHeight="1" x14ac:dyDescent="0.3">
      <c r="A33" s="217" t="s">
        <v>466</v>
      </c>
      <c r="B33" s="218">
        <v>36509.39</v>
      </c>
      <c r="C33" s="218">
        <v>37907.919999999998</v>
      </c>
      <c r="D33" s="218">
        <v>38207.949999999997</v>
      </c>
      <c r="E33" s="218">
        <v>38295.65</v>
      </c>
      <c r="F33" s="218">
        <v>25696.32</v>
      </c>
    </row>
    <row r="34" spans="1:6" ht="14.25" customHeight="1" x14ac:dyDescent="0.3">
      <c r="A34" s="216" t="s">
        <v>467</v>
      </c>
      <c r="B34" s="213">
        <v>9810.86</v>
      </c>
      <c r="C34" s="213">
        <v>9224.89</v>
      </c>
      <c r="D34" s="213">
        <v>10690.19</v>
      </c>
      <c r="E34" s="213">
        <v>11444.65</v>
      </c>
      <c r="F34" s="213">
        <v>8851.93</v>
      </c>
    </row>
    <row r="35" spans="1:6" ht="14.25" customHeight="1" x14ac:dyDescent="0.3">
      <c r="A35" s="221" t="s">
        <v>468</v>
      </c>
      <c r="B35" s="215">
        <v>2840.1</v>
      </c>
      <c r="C35" s="215">
        <v>3984.79</v>
      </c>
      <c r="D35" s="215">
        <v>3863.72</v>
      </c>
      <c r="E35" s="215">
        <v>3792.88</v>
      </c>
      <c r="F35" s="215">
        <v>4252.76</v>
      </c>
    </row>
    <row r="36" spans="1:6" ht="14.25" customHeight="1" x14ac:dyDescent="0.3">
      <c r="A36" s="216" t="s">
        <v>469</v>
      </c>
      <c r="B36" s="213">
        <v>46989.83</v>
      </c>
      <c r="C36" s="213">
        <v>41276.92</v>
      </c>
      <c r="D36" s="213">
        <v>52630.22</v>
      </c>
      <c r="E36" s="213">
        <v>63196.31</v>
      </c>
      <c r="F36" s="213">
        <v>75582.53</v>
      </c>
    </row>
    <row r="37" spans="1:6" ht="14.25" customHeight="1" x14ac:dyDescent="0.3">
      <c r="A37" s="221" t="s">
        <v>470</v>
      </c>
      <c r="B37" s="215">
        <v>8240.59</v>
      </c>
      <c r="C37" s="215">
        <v>7954.82</v>
      </c>
      <c r="D37" s="215">
        <v>8354.41</v>
      </c>
      <c r="E37" s="215">
        <v>9104.42</v>
      </c>
      <c r="F37" s="215">
        <v>11373.48</v>
      </c>
    </row>
    <row r="38" spans="1:6" ht="14.25" customHeight="1" x14ac:dyDescent="0.3">
      <c r="A38" s="217" t="s">
        <v>471</v>
      </c>
      <c r="B38" s="218">
        <v>111867.75</v>
      </c>
      <c r="C38" s="218">
        <v>108147.99</v>
      </c>
      <c r="D38" s="218">
        <v>121547.37</v>
      </c>
      <c r="E38" s="218">
        <v>134182.39000000001</v>
      </c>
      <c r="F38" s="218">
        <v>134238.56</v>
      </c>
    </row>
    <row r="39" spans="1:6" ht="14.25" customHeight="1" x14ac:dyDescent="0.3">
      <c r="A39" s="222" t="s">
        <v>472</v>
      </c>
      <c r="B39" s="222"/>
      <c r="C39" s="222"/>
      <c r="D39" s="222"/>
      <c r="E39" s="222"/>
      <c r="F39" s="222"/>
    </row>
    <row r="40" spans="1:6" ht="14.25" customHeight="1" x14ac:dyDescent="0.3">
      <c r="A40" s="216" t="s">
        <v>473</v>
      </c>
      <c r="B40" s="213">
        <v>29792.51</v>
      </c>
      <c r="C40" s="213">
        <v>35573.42</v>
      </c>
      <c r="D40" s="213">
        <v>34957.629999999997</v>
      </c>
      <c r="E40" s="213">
        <v>43360.62</v>
      </c>
      <c r="F40" s="213">
        <v>59524.86</v>
      </c>
    </row>
    <row r="41" spans="1:6" ht="14.25" customHeight="1" x14ac:dyDescent="0.3">
      <c r="A41" s="221" t="s">
        <v>474</v>
      </c>
      <c r="B41" s="215">
        <v>5943.32</v>
      </c>
      <c r="C41" s="215">
        <v>6828.78</v>
      </c>
      <c r="D41" s="215">
        <v>6620.19</v>
      </c>
      <c r="E41" s="215">
        <v>7670.55</v>
      </c>
      <c r="F41" s="215">
        <v>9530.93</v>
      </c>
    </row>
    <row r="42" spans="1:6" ht="14.25" customHeight="1" x14ac:dyDescent="0.3">
      <c r="A42" s="216" t="s">
        <v>475</v>
      </c>
      <c r="B42" s="213">
        <v>46138.92</v>
      </c>
      <c r="C42" s="213">
        <v>44731.53</v>
      </c>
      <c r="D42" s="213">
        <v>48770.95</v>
      </c>
      <c r="E42" s="213">
        <v>53713.68</v>
      </c>
      <c r="F42" s="213">
        <v>60461.26</v>
      </c>
    </row>
    <row r="43" spans="1:6" ht="14.25" customHeight="1" x14ac:dyDescent="0.3">
      <c r="A43" s="221" t="s">
        <v>476</v>
      </c>
      <c r="B43" s="215">
        <v>18953.169999999998</v>
      </c>
      <c r="C43" s="215">
        <v>22519.599999999999</v>
      </c>
      <c r="D43" s="215">
        <v>15358.39</v>
      </c>
      <c r="E43" s="215">
        <v>22965.34</v>
      </c>
      <c r="F43" s="215">
        <v>20847.669999999998</v>
      </c>
    </row>
    <row r="44" spans="1:6" ht="14.25" customHeight="1" x14ac:dyDescent="0.3">
      <c r="A44" s="216" t="s">
        <v>477</v>
      </c>
      <c r="B44" s="213">
        <v>42549.54</v>
      </c>
      <c r="C44" s="213">
        <v>40711.699999999997</v>
      </c>
      <c r="D44" s="213">
        <v>34921.129999999997</v>
      </c>
      <c r="E44" s="213">
        <v>36494.36</v>
      </c>
      <c r="F44" s="213">
        <v>43459.94</v>
      </c>
    </row>
    <row r="45" spans="1:6" ht="14.25" customHeight="1" x14ac:dyDescent="0.3">
      <c r="A45" s="221" t="s">
        <v>478</v>
      </c>
      <c r="B45" s="215">
        <v>64803.71</v>
      </c>
      <c r="C45" s="215">
        <v>71839.289999999994</v>
      </c>
      <c r="D45" s="215">
        <v>77451.58</v>
      </c>
      <c r="E45" s="215">
        <v>81137.16</v>
      </c>
      <c r="F45" s="215">
        <v>124486.66</v>
      </c>
    </row>
    <row r="46" spans="1:6" ht="14.25" customHeight="1" x14ac:dyDescent="0.3">
      <c r="A46" s="217" t="s">
        <v>479</v>
      </c>
      <c r="B46" s="218">
        <v>208181.17</v>
      </c>
      <c r="C46" s="218">
        <v>222204.32</v>
      </c>
      <c r="D46" s="218">
        <v>218079.87</v>
      </c>
      <c r="E46" s="218">
        <v>245341.71</v>
      </c>
      <c r="F46" s="218">
        <v>318311.32</v>
      </c>
    </row>
    <row r="47" spans="1:6" ht="14.25" customHeight="1" x14ac:dyDescent="0.3">
      <c r="A47" s="219" t="s">
        <v>480</v>
      </c>
      <c r="B47" s="220">
        <v>320048.92</v>
      </c>
      <c r="C47" s="220">
        <v>330352.31</v>
      </c>
      <c r="D47" s="220">
        <v>339627.24</v>
      </c>
      <c r="E47" s="220">
        <v>379524.1</v>
      </c>
      <c r="F47" s="220">
        <v>452549.88</v>
      </c>
    </row>
    <row r="48" spans="1:6" ht="14.25" customHeight="1" x14ac:dyDescent="0.3">
      <c r="A48" s="210" t="s">
        <v>481</v>
      </c>
      <c r="B48" s="210"/>
      <c r="C48" s="210"/>
      <c r="D48" s="210"/>
      <c r="E48" s="210"/>
      <c r="F48" s="210"/>
    </row>
    <row r="49" spans="1:6" ht="14.25" customHeight="1" x14ac:dyDescent="0.3">
      <c r="A49" s="222" t="s">
        <v>482</v>
      </c>
      <c r="B49" s="222"/>
      <c r="C49" s="222"/>
      <c r="D49" s="222"/>
      <c r="E49" s="222"/>
      <c r="F49" s="222"/>
    </row>
    <row r="50" spans="1:6" ht="14.25" customHeight="1" x14ac:dyDescent="0.3">
      <c r="A50" s="216" t="s">
        <v>483</v>
      </c>
      <c r="B50" s="213">
        <v>23020.82</v>
      </c>
      <c r="C50" s="213">
        <v>19620.759999999998</v>
      </c>
      <c r="D50" s="213">
        <v>21246.240000000002</v>
      </c>
      <c r="E50" s="213">
        <v>28086.58</v>
      </c>
      <c r="F50" s="213">
        <v>33600.730000000003</v>
      </c>
    </row>
    <row r="51" spans="1:6" ht="14.25" customHeight="1" x14ac:dyDescent="0.3">
      <c r="A51" s="222" t="s">
        <v>484</v>
      </c>
      <c r="B51" s="222"/>
      <c r="C51" s="222"/>
      <c r="D51" s="222"/>
      <c r="E51" s="222"/>
      <c r="F51" s="222"/>
    </row>
    <row r="52" spans="1:6" ht="14.25" customHeight="1" x14ac:dyDescent="0.3">
      <c r="A52" s="216" t="s">
        <v>485</v>
      </c>
      <c r="B52" s="213">
        <v>244.94</v>
      </c>
      <c r="C52" s="213">
        <v>244.94</v>
      </c>
      <c r="D52" s="213">
        <v>244.94</v>
      </c>
      <c r="E52" s="213">
        <v>244.94</v>
      </c>
      <c r="F52" s="213">
        <v>244.94</v>
      </c>
    </row>
    <row r="53" spans="1:6" ht="14.25" customHeight="1" x14ac:dyDescent="0.3">
      <c r="A53" s="222" t="s">
        <v>486</v>
      </c>
      <c r="B53" s="222"/>
      <c r="C53" s="222"/>
      <c r="D53" s="222"/>
      <c r="E53" s="222"/>
      <c r="F53" s="222"/>
    </row>
    <row r="54" spans="1:6" ht="14.25" customHeight="1" x14ac:dyDescent="0.3">
      <c r="A54" s="216" t="s">
        <v>487</v>
      </c>
      <c r="B54" s="213">
        <v>7081.51</v>
      </c>
      <c r="C54" s="213">
        <v>0</v>
      </c>
      <c r="D54" s="213">
        <v>0</v>
      </c>
      <c r="E54" s="213">
        <v>0</v>
      </c>
      <c r="F54" s="213">
        <v>0</v>
      </c>
    </row>
    <row r="55" spans="1:6" ht="14.25" customHeight="1" x14ac:dyDescent="0.3">
      <c r="A55" s="222" t="s">
        <v>488</v>
      </c>
      <c r="B55" s="222"/>
      <c r="C55" s="222"/>
      <c r="D55" s="222"/>
      <c r="E55" s="222"/>
      <c r="F55" s="222"/>
    </row>
    <row r="56" spans="1:6" ht="14.25" customHeight="1" x14ac:dyDescent="0.3">
      <c r="A56" s="216" t="s">
        <v>489</v>
      </c>
      <c r="B56" s="213">
        <v>29792.51</v>
      </c>
      <c r="C56" s="213">
        <v>0</v>
      </c>
      <c r="D56" s="213">
        <v>0</v>
      </c>
      <c r="E56" s="213">
        <v>0</v>
      </c>
      <c r="F56" s="213">
        <v>0</v>
      </c>
    </row>
    <row r="57" spans="1:6" ht="14.25" customHeight="1" x14ac:dyDescent="0.3">
      <c r="A57" s="16"/>
      <c r="B57" s="16"/>
      <c r="C57" s="16"/>
      <c r="D57" s="16"/>
      <c r="E57" s="16"/>
      <c r="F57" s="16"/>
    </row>
  </sheetData>
  <mergeCells count="2">
    <mergeCell ref="A1:F1"/>
    <mergeCell ref="A2:F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zoomScaleNormal="100" workbookViewId="0">
      <pane xSplit="6" ySplit="13" topLeftCell="G14" activePane="bottomRight" state="frozen"/>
      <selection pane="topRight" activeCell="G1" sqref="G1"/>
      <selection pane="bottomLeft" activeCell="A14" sqref="A14"/>
      <selection pane="bottomRight" activeCell="B19" sqref="B19"/>
    </sheetView>
  </sheetViews>
  <sheetFormatPr defaultColWidth="8.6640625" defaultRowHeight="14.4" x14ac:dyDescent="0.3"/>
  <cols>
    <col min="1" max="1" width="49.109375" customWidth="1"/>
    <col min="2" max="6" width="12" customWidth="1"/>
  </cols>
  <sheetData>
    <row r="1" spans="1:6" ht="21.75" customHeight="1" x14ac:dyDescent="0.3">
      <c r="A1" s="256" t="s">
        <v>490</v>
      </c>
      <c r="B1" s="257"/>
      <c r="C1" s="257"/>
      <c r="D1" s="257"/>
      <c r="E1" s="257"/>
      <c r="F1" s="257"/>
    </row>
    <row r="2" spans="1:6" ht="13.5" customHeight="1" x14ac:dyDescent="0.3">
      <c r="A2" s="17" t="s">
        <v>390</v>
      </c>
      <c r="B2" s="14"/>
      <c r="C2" s="14"/>
      <c r="D2" s="14"/>
      <c r="E2" s="14"/>
      <c r="F2" s="14"/>
    </row>
    <row r="3" spans="1:6" ht="30" customHeight="1" x14ac:dyDescent="0.3">
      <c r="A3" s="209" t="s">
        <v>391</v>
      </c>
      <c r="B3" s="209" t="s">
        <v>392</v>
      </c>
      <c r="C3" s="209" t="s">
        <v>393</v>
      </c>
      <c r="D3" s="209" t="s">
        <v>394</v>
      </c>
      <c r="E3" s="209" t="s">
        <v>395</v>
      </c>
      <c r="F3" s="209" t="s">
        <v>396</v>
      </c>
    </row>
    <row r="4" spans="1:6" ht="13.5" customHeight="1" x14ac:dyDescent="0.3">
      <c r="A4" s="251" t="s">
        <v>491</v>
      </c>
      <c r="B4" s="257"/>
      <c r="C4" s="257"/>
      <c r="D4" s="257"/>
      <c r="E4" s="257"/>
      <c r="F4" s="257"/>
    </row>
    <row r="5" spans="1:6" ht="13.5" customHeight="1" x14ac:dyDescent="0.3">
      <c r="A5" s="217" t="s">
        <v>492</v>
      </c>
      <c r="B5" s="218">
        <v>14410.73</v>
      </c>
      <c r="C5" s="218">
        <v>16973.04</v>
      </c>
      <c r="D5" s="218">
        <v>20423.5</v>
      </c>
      <c r="E5" s="218">
        <v>23104.01</v>
      </c>
      <c r="F5" s="218">
        <v>27698.25</v>
      </c>
    </row>
    <row r="6" spans="1:6" ht="13.5" customHeight="1" x14ac:dyDescent="0.3">
      <c r="A6" s="217" t="s">
        <v>493</v>
      </c>
      <c r="B6" s="218">
        <v>19163.580000000002</v>
      </c>
      <c r="C6" s="218">
        <v>22776.959999999999</v>
      </c>
      <c r="D6" s="218">
        <v>18266.28</v>
      </c>
      <c r="E6" s="218">
        <v>9160.7099999999991</v>
      </c>
      <c r="F6" s="218">
        <v>16740.97</v>
      </c>
    </row>
    <row r="7" spans="1:6" ht="13.5" customHeight="1" x14ac:dyDescent="0.3">
      <c r="A7" s="217" t="s">
        <v>494</v>
      </c>
      <c r="B7" s="218">
        <v>-3667.68</v>
      </c>
      <c r="C7" s="218">
        <v>-8311.7000000000007</v>
      </c>
      <c r="D7" s="218">
        <v>2163.04</v>
      </c>
      <c r="E7" s="218">
        <v>-15517.51</v>
      </c>
      <c r="F7" s="218">
        <v>-11738.84</v>
      </c>
    </row>
    <row r="8" spans="1:6" ht="13.5" customHeight="1" x14ac:dyDescent="0.3">
      <c r="A8" s="217" t="s">
        <v>495</v>
      </c>
      <c r="B8" s="218">
        <v>-15181.48</v>
      </c>
      <c r="C8" s="218">
        <v>-11572.49</v>
      </c>
      <c r="D8" s="218">
        <v>-25413.360000000001</v>
      </c>
      <c r="E8" s="218">
        <v>6556.62</v>
      </c>
      <c r="F8" s="218">
        <v>-2156.4299999999998</v>
      </c>
    </row>
    <row r="9" spans="1:6" ht="13.5" customHeight="1" x14ac:dyDescent="0.3">
      <c r="A9" s="219" t="s">
        <v>496</v>
      </c>
      <c r="B9" s="220">
        <v>396.72</v>
      </c>
      <c r="C9" s="220">
        <v>3156.45</v>
      </c>
      <c r="D9" s="220">
        <v>-4968.1899999999996</v>
      </c>
      <c r="E9" s="220">
        <v>228.5</v>
      </c>
      <c r="F9" s="220">
        <v>3204.24</v>
      </c>
    </row>
    <row r="10" spans="1:6" ht="13.5" customHeight="1" x14ac:dyDescent="0.3">
      <c r="A10" s="212" t="s">
        <v>497</v>
      </c>
      <c r="B10" s="255">
        <v>13373.52</v>
      </c>
      <c r="C10" s="255">
        <v>13770.24</v>
      </c>
      <c r="D10" s="255">
        <v>16926.689999999999</v>
      </c>
      <c r="E10" s="255">
        <v>11958.5</v>
      </c>
      <c r="F10" s="255">
        <v>12187</v>
      </c>
    </row>
    <row r="11" spans="1:6" ht="13.5" customHeight="1" x14ac:dyDescent="0.3">
      <c r="A11" s="219" t="s">
        <v>498</v>
      </c>
      <c r="B11" s="220">
        <v>13770.24</v>
      </c>
      <c r="C11" s="220">
        <v>16926.689999999999</v>
      </c>
      <c r="D11" s="220">
        <v>11958.5</v>
      </c>
      <c r="E11" s="220">
        <v>12187</v>
      </c>
      <c r="F11" s="220">
        <v>15391.24</v>
      </c>
    </row>
    <row r="13" spans="1:6" ht="14.25" customHeight="1" x14ac:dyDescent="0.3">
      <c r="A13" s="1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51"/>
  <sheetViews>
    <sheetView topLeftCell="D1" zoomScale="92" zoomScaleNormal="92" workbookViewId="0">
      <selection sqref="A1:H2"/>
    </sheetView>
  </sheetViews>
  <sheetFormatPr defaultColWidth="8.6640625" defaultRowHeight="14.4" x14ac:dyDescent="0.3"/>
  <cols>
    <col min="1" max="1" width="45.6640625" customWidth="1"/>
    <col min="2" max="4" width="11.77734375" customWidth="1"/>
    <col min="5" max="6" width="12.88671875" customWidth="1"/>
    <col min="7" max="8" width="13.6640625" customWidth="1"/>
    <col min="11" max="11" width="10.6640625" customWidth="1"/>
    <col min="12" max="12" width="10" customWidth="1"/>
    <col min="14" max="14" width="10.6640625" customWidth="1"/>
    <col min="15" max="15" width="9.88671875" customWidth="1"/>
    <col min="17" max="17" width="10.6640625" customWidth="1"/>
    <col min="18" max="18" width="9.88671875" customWidth="1"/>
    <col min="21" max="21" width="10.6640625" customWidth="1"/>
    <col min="22" max="22" width="10.77734375" customWidth="1"/>
    <col min="24" max="24" width="9" customWidth="1"/>
    <col min="25" max="25" width="10.77734375" customWidth="1"/>
  </cols>
  <sheetData>
    <row r="1" spans="1:25" ht="30.75" customHeight="1" x14ac:dyDescent="0.3">
      <c r="A1" s="284" t="s">
        <v>499</v>
      </c>
      <c r="B1" s="284"/>
      <c r="C1" s="284"/>
      <c r="D1" s="284"/>
      <c r="E1" s="284"/>
      <c r="F1" s="284"/>
      <c r="G1" s="285"/>
      <c r="H1" s="285"/>
      <c r="K1" s="20" t="s">
        <v>500</v>
      </c>
      <c r="L1" s="21">
        <v>46023</v>
      </c>
      <c r="N1" s="20" t="s">
        <v>500</v>
      </c>
      <c r="O1" s="21">
        <v>45931</v>
      </c>
      <c r="Q1" s="20" t="s">
        <v>500</v>
      </c>
      <c r="R1" s="21">
        <v>45839</v>
      </c>
      <c r="U1" s="20" t="s">
        <v>500</v>
      </c>
      <c r="V1" s="22">
        <v>45748</v>
      </c>
      <c r="X1" s="20" t="s">
        <v>500</v>
      </c>
      <c r="Y1" s="21">
        <v>45383</v>
      </c>
    </row>
    <row r="2" spans="1:25" ht="15" customHeight="1" x14ac:dyDescent="0.3">
      <c r="A2" s="286"/>
      <c r="B2" s="287" t="s">
        <v>501</v>
      </c>
      <c r="C2" s="287"/>
      <c r="D2" s="287"/>
      <c r="E2" s="287" t="s">
        <v>502</v>
      </c>
      <c r="F2" s="287"/>
      <c r="G2" s="288" t="s">
        <v>503</v>
      </c>
      <c r="H2" s="288"/>
      <c r="K2" s="20" t="s">
        <v>504</v>
      </c>
      <c r="L2" s="21">
        <v>46112</v>
      </c>
      <c r="N2" s="20" t="s">
        <v>504</v>
      </c>
      <c r="O2" s="21">
        <v>46022</v>
      </c>
      <c r="Q2" s="20" t="s">
        <v>504</v>
      </c>
      <c r="R2" s="21">
        <v>45930</v>
      </c>
      <c r="U2" s="20" t="s">
        <v>504</v>
      </c>
      <c r="V2" s="22">
        <v>46112</v>
      </c>
      <c r="X2" s="20" t="s">
        <v>504</v>
      </c>
      <c r="Y2" s="21">
        <v>45747</v>
      </c>
    </row>
    <row r="3" spans="1:25" ht="46.5" customHeight="1" x14ac:dyDescent="0.3">
      <c r="A3" s="259" t="s">
        <v>391</v>
      </c>
      <c r="B3" s="260">
        <v>46082</v>
      </c>
      <c r="C3" s="260">
        <v>45992</v>
      </c>
      <c r="D3" s="260">
        <v>45901</v>
      </c>
      <c r="E3" s="260">
        <v>46082</v>
      </c>
      <c r="F3" s="261">
        <v>45717</v>
      </c>
      <c r="G3" s="262" t="s">
        <v>505</v>
      </c>
      <c r="H3" s="262" t="s">
        <v>506</v>
      </c>
      <c r="K3" s="23" t="s">
        <v>507</v>
      </c>
      <c r="L3" s="24" t="s">
        <v>508</v>
      </c>
      <c r="N3" s="23" t="s">
        <v>507</v>
      </c>
      <c r="O3" s="24" t="s">
        <v>508</v>
      </c>
      <c r="Q3" s="23" t="s">
        <v>507</v>
      </c>
      <c r="R3" s="24" t="s">
        <v>508</v>
      </c>
      <c r="U3" s="23" t="s">
        <v>507</v>
      </c>
      <c r="V3" s="24" t="s">
        <v>508</v>
      </c>
      <c r="X3" s="23" t="s">
        <v>507</v>
      </c>
      <c r="Y3" s="24" t="s">
        <v>508</v>
      </c>
    </row>
    <row r="4" spans="1:25" ht="15" customHeight="1" x14ac:dyDescent="0.3">
      <c r="A4" s="263" t="str">
        <f t="shared" ref="A4:A45" si="0">K4</f>
        <v>Net Sales</v>
      </c>
      <c r="B4" s="264">
        <f t="shared" ref="B4:B45" si="1">L4</f>
        <v>827621.6</v>
      </c>
      <c r="C4" s="264">
        <f t="shared" ref="C4:C45" si="2">O4</f>
        <v>714497</v>
      </c>
      <c r="D4" s="264">
        <f t="shared" ref="D4:D45" si="3">R4</f>
        <v>679835.3</v>
      </c>
      <c r="E4" s="264">
        <f t="shared" ref="E4:E45" si="4">V4</f>
        <v>2858743.6</v>
      </c>
      <c r="F4" s="265">
        <f t="shared" ref="F4:F45" si="5">Y4</f>
        <v>2557344.5</v>
      </c>
      <c r="G4" s="266">
        <f t="shared" ref="G4:G45" si="6">IF(AND(ISNUMBER(B4),ISNUMBER(C4),C4&lt;&gt;0),(B4-C4)/ABS(C4),"-")</f>
        <v>0.15832760669393989</v>
      </c>
      <c r="H4" s="266">
        <f t="shared" ref="H4:H45" si="7">IF(AND(ISNUMBER(B4),ISNUMBER(F4),F4&lt;&gt;0),(B4-F4)/ABS(F4),"-")</f>
        <v>-0.67637461437049251</v>
      </c>
      <c r="K4" s="27" t="s">
        <v>509</v>
      </c>
      <c r="L4" s="28">
        <v>827621.6</v>
      </c>
      <c r="N4" s="27" t="s">
        <v>509</v>
      </c>
      <c r="O4" s="28">
        <v>714497</v>
      </c>
      <c r="Q4" s="27" t="s">
        <v>509</v>
      </c>
      <c r="R4" s="28">
        <v>679835.3</v>
      </c>
      <c r="U4" s="27" t="s">
        <v>509</v>
      </c>
      <c r="V4" s="29">
        <v>2858743.6</v>
      </c>
      <c r="X4" s="27" t="s">
        <v>509</v>
      </c>
      <c r="Y4" s="28">
        <v>2557344.5</v>
      </c>
    </row>
    <row r="5" spans="1:25" ht="30.75" customHeight="1" x14ac:dyDescent="0.3">
      <c r="A5" s="267" t="str">
        <f t="shared" si="0"/>
        <v>Other Income</v>
      </c>
      <c r="B5" s="268">
        <f t="shared" si="1"/>
        <v>15785.9</v>
      </c>
      <c r="C5" s="268">
        <f t="shared" si="2"/>
        <v>14410.4</v>
      </c>
      <c r="D5" s="268">
        <f t="shared" si="3"/>
        <v>13842.8</v>
      </c>
      <c r="E5" s="268">
        <f t="shared" si="4"/>
        <v>57606.8</v>
      </c>
      <c r="F5" s="269">
        <f t="shared" si="5"/>
        <v>41248.199999999997</v>
      </c>
      <c r="G5" s="270">
        <f t="shared" si="6"/>
        <v>9.5451895852995058E-2</v>
      </c>
      <c r="H5" s="270">
        <f t="shared" si="7"/>
        <v>-0.6172948152889095</v>
      </c>
      <c r="K5" s="27" t="s">
        <v>402</v>
      </c>
      <c r="L5" s="28">
        <v>15785.9</v>
      </c>
      <c r="N5" s="27" t="s">
        <v>402</v>
      </c>
      <c r="O5" s="28">
        <v>14410.4</v>
      </c>
      <c r="Q5" s="27" t="s">
        <v>402</v>
      </c>
      <c r="R5" s="28">
        <v>13842.8</v>
      </c>
      <c r="U5" s="27" t="s">
        <v>402</v>
      </c>
      <c r="V5" s="29">
        <v>57606.8</v>
      </c>
      <c r="X5" s="27" t="s">
        <v>402</v>
      </c>
      <c r="Y5" s="28">
        <v>41248.199999999997</v>
      </c>
    </row>
    <row r="6" spans="1:25" ht="30.75" customHeight="1" x14ac:dyDescent="0.3">
      <c r="A6" s="267" t="str">
        <f t="shared" si="0"/>
        <v>Total Income</v>
      </c>
      <c r="B6" s="268">
        <f t="shared" si="1"/>
        <v>843407.5</v>
      </c>
      <c r="C6" s="268">
        <f t="shared" si="2"/>
        <v>728907.4</v>
      </c>
      <c r="D6" s="268">
        <f t="shared" si="3"/>
        <v>693678.1</v>
      </c>
      <c r="E6" s="268">
        <f t="shared" si="4"/>
        <v>2916350.4</v>
      </c>
      <c r="F6" s="269">
        <f t="shared" si="5"/>
        <v>2598592.7000000002</v>
      </c>
      <c r="G6" s="266">
        <f t="shared" si="6"/>
        <v>0.15708456245608149</v>
      </c>
      <c r="H6" s="266">
        <f t="shared" si="7"/>
        <v>-0.67543682393935767</v>
      </c>
      <c r="K6" s="27" t="s">
        <v>510</v>
      </c>
      <c r="L6" s="28">
        <v>843407.5</v>
      </c>
      <c r="N6" s="27" t="s">
        <v>510</v>
      </c>
      <c r="O6" s="28">
        <v>728907.4</v>
      </c>
      <c r="Q6" s="27" t="s">
        <v>510</v>
      </c>
      <c r="R6" s="28">
        <v>693678.1</v>
      </c>
      <c r="U6" s="27" t="s">
        <v>510</v>
      </c>
      <c r="V6" s="29">
        <v>2916350.4</v>
      </c>
      <c r="X6" s="27" t="s">
        <v>510</v>
      </c>
      <c r="Y6" s="28">
        <v>2598592.7000000002</v>
      </c>
    </row>
    <row r="7" spans="1:25" ht="30.75" customHeight="1" x14ac:dyDescent="0.3">
      <c r="A7" s="271" t="str">
        <f t="shared" si="0"/>
        <v>Expenditure</v>
      </c>
      <c r="B7" s="272">
        <f t="shared" si="1"/>
        <v>-759991.2</v>
      </c>
      <c r="C7" s="272">
        <f t="shared" si="2"/>
        <v>-657297.6</v>
      </c>
      <c r="D7" s="272">
        <f t="shared" si="3"/>
        <v>-630317</v>
      </c>
      <c r="E7" s="272">
        <f t="shared" si="4"/>
        <v>-2639367.9</v>
      </c>
      <c r="F7" s="273">
        <f t="shared" si="5"/>
        <v>-2367552.6</v>
      </c>
      <c r="G7" s="270">
        <f t="shared" si="6"/>
        <v>-0.15623607936496342</v>
      </c>
      <c r="H7" s="270">
        <f t="shared" si="7"/>
        <v>0.67899712133111634</v>
      </c>
      <c r="K7" s="20" t="s">
        <v>511</v>
      </c>
      <c r="L7" s="28">
        <v>-759991.2</v>
      </c>
      <c r="N7" s="20" t="s">
        <v>511</v>
      </c>
      <c r="O7" s="28">
        <v>-657297.6</v>
      </c>
      <c r="Q7" s="20" t="s">
        <v>511</v>
      </c>
      <c r="R7" s="28">
        <v>-630317</v>
      </c>
      <c r="U7" s="20" t="s">
        <v>511</v>
      </c>
      <c r="V7" s="29">
        <v>-2639367.9</v>
      </c>
      <c r="X7" s="20" t="s">
        <v>511</v>
      </c>
      <c r="Y7" s="28">
        <v>-2367552.6</v>
      </c>
    </row>
    <row r="8" spans="1:25" ht="93" customHeight="1" x14ac:dyDescent="0.3">
      <c r="A8" s="274" t="str">
        <f t="shared" si="0"/>
        <v>Cost of Materials Consumed</v>
      </c>
      <c r="B8" s="275">
        <f t="shared" si="1"/>
        <v>-299388.40000000002</v>
      </c>
      <c r="C8" s="275">
        <f t="shared" si="2"/>
        <v>53698.9</v>
      </c>
      <c r="D8" s="275">
        <f t="shared" si="3"/>
        <v>-245925.7</v>
      </c>
      <c r="E8" s="275">
        <f t="shared" si="4"/>
        <v>259758.1</v>
      </c>
      <c r="F8" s="276">
        <f t="shared" si="5"/>
        <v>-955748.5</v>
      </c>
      <c r="G8" s="266">
        <f t="shared" si="6"/>
        <v>-6.5753171852682275</v>
      </c>
      <c r="H8" s="266">
        <f t="shared" si="7"/>
        <v>0.68674980918097173</v>
      </c>
      <c r="K8" s="27" t="s">
        <v>512</v>
      </c>
      <c r="L8" s="28">
        <v>-299388.40000000002</v>
      </c>
      <c r="N8" s="27" t="s">
        <v>513</v>
      </c>
      <c r="O8" s="28">
        <v>53698.9</v>
      </c>
      <c r="Q8" s="27" t="s">
        <v>512</v>
      </c>
      <c r="R8" s="28">
        <v>-245925.7</v>
      </c>
      <c r="U8" s="27" t="s">
        <v>513</v>
      </c>
      <c r="V8" s="29">
        <v>259758.1</v>
      </c>
      <c r="X8" s="27" t="s">
        <v>512</v>
      </c>
      <c r="Y8" s="28">
        <v>-955748.5</v>
      </c>
    </row>
    <row r="9" spans="1:25" ht="30.75" customHeight="1" x14ac:dyDescent="0.3">
      <c r="A9" s="277" t="str">
        <f t="shared" si="0"/>
        <v>Finance Costs</v>
      </c>
      <c r="B9" s="264">
        <f t="shared" si="1"/>
        <v>-6792.7</v>
      </c>
      <c r="C9" s="264">
        <f t="shared" si="2"/>
        <v>-15406.6</v>
      </c>
      <c r="D9" s="264">
        <f t="shared" si="3"/>
        <v>-7628.1</v>
      </c>
      <c r="E9" s="264">
        <f t="shared" si="4"/>
        <v>-68164.100000000006</v>
      </c>
      <c r="F9" s="265">
        <f t="shared" si="5"/>
        <v>-33343.699999999997</v>
      </c>
      <c r="G9" s="266">
        <f t="shared" si="6"/>
        <v>0.5591045396128933</v>
      </c>
      <c r="H9" s="266">
        <f t="shared" si="7"/>
        <v>0.79628235618722576</v>
      </c>
      <c r="K9" s="27" t="s">
        <v>410</v>
      </c>
      <c r="L9" s="28">
        <v>-6792.7</v>
      </c>
      <c r="N9" s="27" t="s">
        <v>514</v>
      </c>
      <c r="O9" s="28">
        <v>-15406.6</v>
      </c>
      <c r="Q9" s="27" t="s">
        <v>410</v>
      </c>
      <c r="R9" s="28">
        <v>-7628.1</v>
      </c>
      <c r="U9" s="27" t="s">
        <v>514</v>
      </c>
      <c r="V9" s="29">
        <v>-68164.100000000006</v>
      </c>
      <c r="X9" s="27" t="s">
        <v>410</v>
      </c>
      <c r="Y9" s="28">
        <v>-33343.699999999997</v>
      </c>
    </row>
    <row r="10" spans="1:25" ht="93" customHeight="1" x14ac:dyDescent="0.3">
      <c r="A10" s="278" t="str">
        <f t="shared" si="0"/>
        <v>Other Expenses</v>
      </c>
      <c r="B10" s="275">
        <f t="shared" si="1"/>
        <v>-312905.7</v>
      </c>
      <c r="C10" s="275">
        <f t="shared" si="2"/>
        <v>38292.300000000003</v>
      </c>
      <c r="D10" s="275">
        <f t="shared" si="3"/>
        <v>-234651.7</v>
      </c>
      <c r="E10" s="275">
        <f t="shared" si="4"/>
        <v>191594</v>
      </c>
      <c r="F10" s="276">
        <f t="shared" si="5"/>
        <v>-859648.3</v>
      </c>
      <c r="G10" s="266">
        <f t="shared" si="6"/>
        <v>-9.1715044538980415</v>
      </c>
      <c r="H10" s="266">
        <f t="shared" si="7"/>
        <v>0.63600730670903449</v>
      </c>
      <c r="K10" s="27" t="s">
        <v>412</v>
      </c>
      <c r="L10" s="28">
        <v>-312905.7</v>
      </c>
      <c r="N10" s="27" t="s">
        <v>515</v>
      </c>
      <c r="O10" s="28">
        <v>38292.300000000003</v>
      </c>
      <c r="Q10" s="27" t="s">
        <v>412</v>
      </c>
      <c r="R10" s="28">
        <v>-234651.7</v>
      </c>
      <c r="U10" s="27" t="s">
        <v>515</v>
      </c>
      <c r="V10" s="29">
        <v>191594</v>
      </c>
      <c r="X10" s="27" t="s">
        <v>412</v>
      </c>
      <c r="Y10" s="28">
        <v>-859648.3</v>
      </c>
    </row>
    <row r="11" spans="1:25" ht="46.5" customHeight="1" x14ac:dyDescent="0.3">
      <c r="A11" s="278" t="str">
        <f t="shared" si="0"/>
        <v>Purchases of stock-in-trade</v>
      </c>
      <c r="B11" s="275">
        <f t="shared" si="1"/>
        <v>-4495.7</v>
      </c>
      <c r="C11" s="275">
        <f t="shared" si="2"/>
        <v>38246.5</v>
      </c>
      <c r="D11" s="275">
        <f t="shared" si="3"/>
        <v>-129859.8</v>
      </c>
      <c r="E11" s="275">
        <f t="shared" si="4"/>
        <v>189538.8</v>
      </c>
      <c r="F11" s="276">
        <f t="shared" si="5"/>
        <v>-14021.4</v>
      </c>
      <c r="G11" s="266">
        <f t="shared" si="6"/>
        <v>-1.1175453963107735</v>
      </c>
      <c r="H11" s="266">
        <f t="shared" si="7"/>
        <v>0.67936867930449174</v>
      </c>
      <c r="K11" s="27" t="s">
        <v>516</v>
      </c>
      <c r="L11" s="28">
        <v>-4495.7</v>
      </c>
      <c r="N11" s="27" t="s">
        <v>517</v>
      </c>
      <c r="O11" s="28">
        <v>38246.5</v>
      </c>
      <c r="Q11" s="27" t="s">
        <v>518</v>
      </c>
      <c r="R11" s="28">
        <v>-129859.8</v>
      </c>
      <c r="U11" s="27" t="s">
        <v>517</v>
      </c>
      <c r="V11" s="29">
        <v>189538.8</v>
      </c>
      <c r="X11" s="27" t="s">
        <v>516</v>
      </c>
      <c r="Y11" s="28">
        <v>-14021.4</v>
      </c>
    </row>
    <row r="12" spans="1:25" ht="140.25" customHeight="1" x14ac:dyDescent="0.3">
      <c r="A12" s="278" t="str">
        <f t="shared" si="0"/>
        <v>Changes in inventories of finished goods, work-in-progress and stock-in-trade</v>
      </c>
      <c r="B12" s="275">
        <f t="shared" si="1"/>
        <v>12900</v>
      </c>
      <c r="C12" s="275">
        <f t="shared" si="2"/>
        <v>0</v>
      </c>
      <c r="D12" s="275">
        <f t="shared" si="3"/>
        <v>-3020.8</v>
      </c>
      <c r="E12" s="275">
        <f t="shared" si="4"/>
        <v>0</v>
      </c>
      <c r="F12" s="276">
        <f t="shared" si="5"/>
        <v>-41211.800000000003</v>
      </c>
      <c r="G12" s="266" t="str">
        <f t="shared" si="6"/>
        <v>-</v>
      </c>
      <c r="H12" s="266">
        <f t="shared" si="7"/>
        <v>1.313017145574811</v>
      </c>
      <c r="K12" s="27" t="s">
        <v>519</v>
      </c>
      <c r="L12" s="28">
        <v>12900</v>
      </c>
      <c r="N12" s="27" t="s">
        <v>425</v>
      </c>
      <c r="O12" s="27">
        <v>0</v>
      </c>
      <c r="Q12" s="27" t="s">
        <v>516</v>
      </c>
      <c r="R12" s="28">
        <v>-3020.8</v>
      </c>
      <c r="U12" s="27" t="s">
        <v>425</v>
      </c>
      <c r="V12" s="35">
        <v>0</v>
      </c>
      <c r="X12" s="27" t="s">
        <v>520</v>
      </c>
      <c r="Y12" s="28">
        <v>-41211.800000000003</v>
      </c>
    </row>
    <row r="13" spans="1:25" ht="140.25" customHeight="1" x14ac:dyDescent="0.3">
      <c r="A13" s="267" t="str">
        <f t="shared" si="0"/>
        <v>Employee benefit expense</v>
      </c>
      <c r="B13" s="268">
        <f t="shared" si="1"/>
        <v>-137629.20000000001</v>
      </c>
      <c r="C13" s="268">
        <f t="shared" si="2"/>
        <v>0</v>
      </c>
      <c r="D13" s="268">
        <f t="shared" si="3"/>
        <v>1686.8</v>
      </c>
      <c r="E13" s="268">
        <f t="shared" si="4"/>
        <v>0</v>
      </c>
      <c r="F13" s="269">
        <f t="shared" si="5"/>
        <v>-467686.8</v>
      </c>
      <c r="G13" s="266" t="str">
        <f t="shared" si="6"/>
        <v>-</v>
      </c>
      <c r="H13" s="266">
        <f t="shared" si="7"/>
        <v>0.70572357398156194</v>
      </c>
      <c r="K13" s="27" t="s">
        <v>518</v>
      </c>
      <c r="L13" s="28">
        <v>-137629.20000000001</v>
      </c>
      <c r="N13" s="27" t="s">
        <v>521</v>
      </c>
      <c r="O13" s="27">
        <v>0</v>
      </c>
      <c r="Q13" s="27" t="s">
        <v>519</v>
      </c>
      <c r="R13" s="28">
        <v>1686.8</v>
      </c>
      <c r="U13" s="27" t="s">
        <v>521</v>
      </c>
      <c r="V13" s="35">
        <v>0</v>
      </c>
      <c r="X13" s="27" t="s">
        <v>518</v>
      </c>
      <c r="Y13" s="28">
        <v>-467686.8</v>
      </c>
    </row>
    <row r="14" spans="1:25" ht="140.25" customHeight="1" x14ac:dyDescent="0.3">
      <c r="A14" s="258" t="str">
        <f t="shared" si="0"/>
        <v>Depreciation and amortisation expense</v>
      </c>
      <c r="B14" s="275">
        <f t="shared" si="1"/>
        <v>-11679.5</v>
      </c>
      <c r="C14" s="275">
        <f t="shared" si="2"/>
        <v>38246.5</v>
      </c>
      <c r="D14" s="275">
        <f t="shared" si="3"/>
        <v>-10917.7</v>
      </c>
      <c r="E14" s="275">
        <f t="shared" si="4"/>
        <v>189538.8</v>
      </c>
      <c r="F14" s="276">
        <f t="shared" si="5"/>
        <v>4107.8999999999996</v>
      </c>
      <c r="G14" s="270">
        <f t="shared" si="6"/>
        <v>-1.3053743479795537</v>
      </c>
      <c r="H14" s="270">
        <f t="shared" si="7"/>
        <v>-3.8431802137345117</v>
      </c>
      <c r="K14" s="27" t="s">
        <v>520</v>
      </c>
      <c r="L14" s="28">
        <v>-11679.5</v>
      </c>
      <c r="N14" s="27" t="s">
        <v>522</v>
      </c>
      <c r="O14" s="28">
        <v>38246.5</v>
      </c>
      <c r="Q14" s="27" t="s">
        <v>520</v>
      </c>
      <c r="R14" s="28">
        <v>-10917.7</v>
      </c>
      <c r="U14" s="27" t="s">
        <v>522</v>
      </c>
      <c r="V14" s="29">
        <v>189538.8</v>
      </c>
      <c r="X14" s="27" t="s">
        <v>519</v>
      </c>
      <c r="Y14" s="28">
        <v>4107.8999999999996</v>
      </c>
    </row>
    <row r="15" spans="1:25" ht="93" customHeight="1" x14ac:dyDescent="0.3">
      <c r="A15" s="278" t="str">
        <f t="shared" si="0"/>
        <v>Profit (+)/ Loss (-) from Ordinary Activities before Tax</v>
      </c>
      <c r="B15" s="275">
        <f t="shared" si="1"/>
        <v>84102.8</v>
      </c>
      <c r="C15" s="275">
        <f t="shared" si="2"/>
        <v>0</v>
      </c>
      <c r="D15" s="275">
        <f t="shared" si="3"/>
        <v>63361.1</v>
      </c>
      <c r="E15" s="275">
        <f t="shared" si="4"/>
        <v>0</v>
      </c>
      <c r="F15" s="276">
        <f t="shared" si="5"/>
        <v>235787.9</v>
      </c>
      <c r="G15" s="270" t="str">
        <f t="shared" si="6"/>
        <v>-</v>
      </c>
      <c r="H15" s="270">
        <f t="shared" si="7"/>
        <v>-0.64331163728079332</v>
      </c>
      <c r="K15" s="27" t="s">
        <v>513</v>
      </c>
      <c r="L15" s="28">
        <v>84102.8</v>
      </c>
      <c r="N15" s="27" t="s">
        <v>523</v>
      </c>
      <c r="O15" s="27">
        <v>0</v>
      </c>
      <c r="Q15" s="27" t="s">
        <v>513</v>
      </c>
      <c r="R15" s="28">
        <v>63361.1</v>
      </c>
      <c r="U15" s="27" t="s">
        <v>523</v>
      </c>
      <c r="V15" s="35">
        <v>0</v>
      </c>
      <c r="X15" s="27" t="s">
        <v>513</v>
      </c>
      <c r="Y15" s="28">
        <v>235787.9</v>
      </c>
    </row>
    <row r="16" spans="1:25" ht="78" customHeight="1" x14ac:dyDescent="0.3">
      <c r="A16" s="278" t="str">
        <f t="shared" si="0"/>
        <v>Tax</v>
      </c>
      <c r="B16" s="275">
        <f t="shared" si="1"/>
        <v>-20927.5</v>
      </c>
      <c r="C16" s="275">
        <f t="shared" si="2"/>
        <v>38246.5</v>
      </c>
      <c r="D16" s="275">
        <f t="shared" si="3"/>
        <v>-16490.2</v>
      </c>
      <c r="E16" s="275">
        <f t="shared" si="4"/>
        <v>189538.8</v>
      </c>
      <c r="F16" s="276">
        <f t="shared" si="5"/>
        <v>-58914</v>
      </c>
      <c r="G16" s="266">
        <f t="shared" si="6"/>
        <v>-1.5471742512386755</v>
      </c>
      <c r="H16" s="266">
        <f t="shared" si="7"/>
        <v>0.64477883015921511</v>
      </c>
      <c r="K16" s="27" t="s">
        <v>514</v>
      </c>
      <c r="L16" s="28">
        <v>-20927.5</v>
      </c>
      <c r="N16" s="27" t="s">
        <v>524</v>
      </c>
      <c r="O16" s="28">
        <v>38246.5</v>
      </c>
      <c r="Q16" s="27" t="s">
        <v>514</v>
      </c>
      <c r="R16" s="28">
        <v>-16490.2</v>
      </c>
      <c r="U16" s="27" t="s">
        <v>524</v>
      </c>
      <c r="V16" s="29">
        <v>189538.8</v>
      </c>
      <c r="X16" s="27" t="s">
        <v>514</v>
      </c>
      <c r="Y16" s="28">
        <v>-58914</v>
      </c>
    </row>
    <row r="17" spans="1:25" ht="93" customHeight="1" x14ac:dyDescent="0.3">
      <c r="A17" s="278" t="str">
        <f t="shared" si="0"/>
        <v>Net Profit (+)/ Loss (-) from Ordinary Activities after Tax</v>
      </c>
      <c r="B17" s="275">
        <f t="shared" si="1"/>
        <v>63175.3</v>
      </c>
      <c r="C17" s="275" t="str">
        <f t="shared" si="2"/>
        <v>-</v>
      </c>
      <c r="D17" s="275">
        <f t="shared" si="3"/>
        <v>46870.9</v>
      </c>
      <c r="E17" s="275" t="str">
        <f t="shared" si="4"/>
        <v>-</v>
      </c>
      <c r="F17" s="276">
        <f t="shared" si="5"/>
        <v>176873.9</v>
      </c>
      <c r="G17" s="266" t="str">
        <f t="shared" si="6"/>
        <v>-</v>
      </c>
      <c r="H17" s="266">
        <f t="shared" si="7"/>
        <v>-0.64282293769742171</v>
      </c>
      <c r="K17" s="27" t="s">
        <v>515</v>
      </c>
      <c r="L17" s="28">
        <v>63175.3</v>
      </c>
      <c r="N17" s="20" t="s">
        <v>525</v>
      </c>
      <c r="O17" s="27" t="s">
        <v>121</v>
      </c>
      <c r="Q17" s="27" t="s">
        <v>515</v>
      </c>
      <c r="R17" s="28">
        <v>46870.9</v>
      </c>
      <c r="U17" s="20" t="s">
        <v>525</v>
      </c>
      <c r="V17" s="35" t="s">
        <v>121</v>
      </c>
      <c r="X17" s="27" t="s">
        <v>515</v>
      </c>
      <c r="Y17" s="28">
        <v>176873.9</v>
      </c>
    </row>
    <row r="18" spans="1:25" ht="30.75" customHeight="1" x14ac:dyDescent="0.3">
      <c r="A18" s="278" t="str">
        <f t="shared" si="0"/>
        <v>Net Profit</v>
      </c>
      <c r="B18" s="275">
        <f t="shared" si="1"/>
        <v>61330.6</v>
      </c>
      <c r="C18" s="275">
        <f t="shared" si="2"/>
        <v>-17910.900000000001</v>
      </c>
      <c r="D18" s="275">
        <f t="shared" si="3"/>
        <v>46780.1</v>
      </c>
      <c r="E18" s="275">
        <f t="shared" si="4"/>
        <v>-17224.400000000001</v>
      </c>
      <c r="F18" s="276">
        <f t="shared" si="5"/>
        <v>0</v>
      </c>
      <c r="G18" s="266">
        <f t="shared" si="6"/>
        <v>4.4242053721476866</v>
      </c>
      <c r="H18" s="266" t="str">
        <f t="shared" si="7"/>
        <v>-</v>
      </c>
      <c r="K18" s="27" t="s">
        <v>517</v>
      </c>
      <c r="L18" s="28">
        <v>61330.6</v>
      </c>
      <c r="N18" s="27" t="s">
        <v>526</v>
      </c>
      <c r="O18" s="28">
        <v>-17910.900000000001</v>
      </c>
      <c r="Q18" s="27" t="s">
        <v>517</v>
      </c>
      <c r="R18" s="28">
        <v>46780.1</v>
      </c>
      <c r="U18" s="27" t="s">
        <v>526</v>
      </c>
      <c r="V18" s="29">
        <v>-17224.400000000001</v>
      </c>
      <c r="X18" s="27" t="s">
        <v>527</v>
      </c>
      <c r="Y18" s="27">
        <v>0</v>
      </c>
    </row>
    <row r="19" spans="1:25" ht="78" customHeight="1" x14ac:dyDescent="0.3">
      <c r="A19" s="278" t="str">
        <f t="shared" si="0"/>
        <v>Current tax</v>
      </c>
      <c r="B19" s="275">
        <f t="shared" si="1"/>
        <v>-22154.5</v>
      </c>
      <c r="C19" s="275">
        <f t="shared" si="2"/>
        <v>71609.8</v>
      </c>
      <c r="D19" s="275">
        <f t="shared" si="3"/>
        <v>-15769.7</v>
      </c>
      <c r="E19" s="275">
        <f t="shared" si="4"/>
        <v>276982.5</v>
      </c>
      <c r="F19" s="276">
        <f t="shared" si="5"/>
        <v>176873.9</v>
      </c>
      <c r="G19" s="266">
        <f t="shared" si="6"/>
        <v>-1.309378046021634</v>
      </c>
      <c r="H19" s="266">
        <f t="shared" si="7"/>
        <v>-1.1252559026515501</v>
      </c>
      <c r="K19" s="27" t="s">
        <v>528</v>
      </c>
      <c r="L19" s="28">
        <v>-22154.5</v>
      </c>
      <c r="N19" s="27" t="s">
        <v>529</v>
      </c>
      <c r="O19" s="28">
        <v>71609.8</v>
      </c>
      <c r="Q19" s="27" t="s">
        <v>528</v>
      </c>
      <c r="R19" s="28">
        <v>-15769.7</v>
      </c>
      <c r="U19" s="27" t="s">
        <v>529</v>
      </c>
      <c r="V19" s="29">
        <v>276982.5</v>
      </c>
      <c r="X19" s="27" t="s">
        <v>517</v>
      </c>
      <c r="Y19" s="28">
        <v>176873.9</v>
      </c>
    </row>
    <row r="20" spans="1:25" ht="93" customHeight="1" x14ac:dyDescent="0.3">
      <c r="A20" s="267" t="str">
        <f t="shared" si="0"/>
        <v>Deferred tax</v>
      </c>
      <c r="B20" s="268">
        <f t="shared" si="1"/>
        <v>1227</v>
      </c>
      <c r="C20" s="268">
        <f t="shared" si="2"/>
        <v>38292.300000000003</v>
      </c>
      <c r="D20" s="268">
        <f t="shared" si="3"/>
        <v>-720.5</v>
      </c>
      <c r="E20" s="268">
        <f t="shared" si="4"/>
        <v>191594</v>
      </c>
      <c r="F20" s="269">
        <f t="shared" si="5"/>
        <v>-26362.2</v>
      </c>
      <c r="G20" s="266">
        <f t="shared" si="6"/>
        <v>-0.96795700441080845</v>
      </c>
      <c r="H20" s="266">
        <f t="shared" si="7"/>
        <v>1.0465439151512392</v>
      </c>
      <c r="K20" s="27" t="s">
        <v>530</v>
      </c>
      <c r="L20" s="28">
        <v>1227</v>
      </c>
      <c r="N20" s="27" t="s">
        <v>531</v>
      </c>
      <c r="O20" s="28">
        <v>38292.300000000003</v>
      </c>
      <c r="Q20" s="27" t="s">
        <v>530</v>
      </c>
      <c r="R20" s="27">
        <v>-720.5</v>
      </c>
      <c r="U20" s="27" t="s">
        <v>531</v>
      </c>
      <c r="V20" s="29">
        <v>191594</v>
      </c>
      <c r="X20" s="27" t="s">
        <v>425</v>
      </c>
      <c r="Y20" s="28">
        <v>-26362.2</v>
      </c>
    </row>
    <row r="21" spans="1:25" ht="93" customHeight="1" x14ac:dyDescent="0.3">
      <c r="A21" s="267" t="str">
        <f t="shared" si="0"/>
        <v>Minority Interest</v>
      </c>
      <c r="B21" s="268">
        <f t="shared" si="1"/>
        <v>0</v>
      </c>
      <c r="C21" s="268">
        <f t="shared" si="2"/>
        <v>0</v>
      </c>
      <c r="D21" s="268">
        <f t="shared" si="3"/>
        <v>0</v>
      </c>
      <c r="E21" s="268">
        <f t="shared" si="4"/>
        <v>0</v>
      </c>
      <c r="F21" s="269">
        <f t="shared" si="5"/>
        <v>-61008.2</v>
      </c>
      <c r="G21" s="270" t="str">
        <f t="shared" si="6"/>
        <v>-</v>
      </c>
      <c r="H21" s="270">
        <f t="shared" si="7"/>
        <v>1</v>
      </c>
      <c r="K21" s="27" t="s">
        <v>425</v>
      </c>
      <c r="L21" s="27">
        <v>0</v>
      </c>
      <c r="N21" s="27" t="s">
        <v>532</v>
      </c>
      <c r="O21" s="27">
        <v>0</v>
      </c>
      <c r="Q21" s="27" t="s">
        <v>425</v>
      </c>
      <c r="R21" s="27">
        <v>0</v>
      </c>
      <c r="U21" s="27" t="s">
        <v>532</v>
      </c>
      <c r="V21" s="35">
        <v>0</v>
      </c>
      <c r="X21" s="27" t="s">
        <v>528</v>
      </c>
      <c r="Y21" s="28">
        <v>-61008.2</v>
      </c>
    </row>
    <row r="22" spans="1:25" ht="78" customHeight="1" x14ac:dyDescent="0.3">
      <c r="A22" s="271" t="str">
        <f t="shared" si="0"/>
        <v>Share of Profit &amp; Loss of Asso</v>
      </c>
      <c r="B22" s="272">
        <f t="shared" si="1"/>
        <v>0</v>
      </c>
      <c r="C22" s="272">
        <f t="shared" si="2"/>
        <v>0</v>
      </c>
      <c r="D22" s="272">
        <f t="shared" si="3"/>
        <v>0</v>
      </c>
      <c r="E22" s="272">
        <f t="shared" si="4"/>
        <v>0</v>
      </c>
      <c r="F22" s="273">
        <f t="shared" si="5"/>
        <v>2094.1999999999998</v>
      </c>
      <c r="G22" s="266" t="str">
        <f t="shared" si="6"/>
        <v>-</v>
      </c>
      <c r="H22" s="266">
        <f t="shared" si="7"/>
        <v>-1</v>
      </c>
      <c r="K22" s="27" t="s">
        <v>521</v>
      </c>
      <c r="L22" s="27">
        <v>0</v>
      </c>
      <c r="N22" s="27" t="s">
        <v>533</v>
      </c>
      <c r="O22" s="27">
        <v>0</v>
      </c>
      <c r="Q22" s="27" t="s">
        <v>521</v>
      </c>
      <c r="R22" s="27">
        <v>0</v>
      </c>
      <c r="U22" s="27" t="s">
        <v>533</v>
      </c>
      <c r="V22" s="35">
        <v>0</v>
      </c>
      <c r="X22" s="27" t="s">
        <v>420</v>
      </c>
      <c r="Y22" s="28">
        <v>2094.1999999999998</v>
      </c>
    </row>
    <row r="23" spans="1:25" ht="93" customHeight="1" x14ac:dyDescent="0.3">
      <c r="A23" s="274" t="str">
        <f t="shared" si="0"/>
        <v>Net Profit after Mino Inter &amp; Share of P &amp; L</v>
      </c>
      <c r="B23" s="275">
        <f t="shared" si="1"/>
        <v>61330.6</v>
      </c>
      <c r="C23" s="275">
        <f t="shared" si="2"/>
        <v>0</v>
      </c>
      <c r="D23" s="275">
        <f t="shared" si="3"/>
        <v>46780.1</v>
      </c>
      <c r="E23" s="275">
        <f t="shared" si="4"/>
        <v>0</v>
      </c>
      <c r="F23" s="276">
        <f t="shared" si="5"/>
        <v>-140.6</v>
      </c>
      <c r="G23" s="266" t="str">
        <f t="shared" si="6"/>
        <v>-</v>
      </c>
      <c r="H23" s="266">
        <f t="shared" si="7"/>
        <v>437.20625889046943</v>
      </c>
      <c r="K23" s="27" t="s">
        <v>522</v>
      </c>
      <c r="L23" s="28">
        <v>61330.6</v>
      </c>
      <c r="N23" s="27" t="s">
        <v>534</v>
      </c>
      <c r="O23" s="27">
        <v>0</v>
      </c>
      <c r="Q23" s="27" t="s">
        <v>522</v>
      </c>
      <c r="R23" s="28">
        <v>46780.1</v>
      </c>
      <c r="U23" s="27" t="s">
        <v>534</v>
      </c>
      <c r="V23" s="35">
        <v>0</v>
      </c>
      <c r="X23" s="27" t="s">
        <v>521</v>
      </c>
      <c r="Y23" s="27">
        <v>-140.6</v>
      </c>
    </row>
    <row r="24" spans="1:25" ht="93" customHeight="1" x14ac:dyDescent="0.3">
      <c r="A24" s="277" t="str">
        <f t="shared" si="0"/>
        <v>Any Other</v>
      </c>
      <c r="B24" s="264">
        <f t="shared" si="1"/>
        <v>0</v>
      </c>
      <c r="C24" s="264">
        <f t="shared" si="2"/>
        <v>6475.5</v>
      </c>
      <c r="D24" s="264">
        <f t="shared" si="3"/>
        <v>0</v>
      </c>
      <c r="E24" s="264">
        <f t="shared" si="4"/>
        <v>-4065</v>
      </c>
      <c r="F24" s="265">
        <f t="shared" si="5"/>
        <v>176873.9</v>
      </c>
      <c r="G24" s="266">
        <f t="shared" si="6"/>
        <v>-1</v>
      </c>
      <c r="H24" s="266">
        <f t="shared" si="7"/>
        <v>-1</v>
      </c>
      <c r="K24" s="27" t="s">
        <v>523</v>
      </c>
      <c r="L24" s="27">
        <v>0</v>
      </c>
      <c r="N24" s="27" t="s">
        <v>535</v>
      </c>
      <c r="O24" s="28">
        <v>6475.5</v>
      </c>
      <c r="Q24" s="27" t="s">
        <v>523</v>
      </c>
      <c r="R24" s="27">
        <v>0</v>
      </c>
      <c r="U24" s="27" t="s">
        <v>535</v>
      </c>
      <c r="V24" s="29">
        <v>-4065</v>
      </c>
      <c r="X24" s="27" t="s">
        <v>522</v>
      </c>
      <c r="Y24" s="28">
        <v>176873.9</v>
      </c>
    </row>
    <row r="25" spans="1:25" ht="78" customHeight="1" x14ac:dyDescent="0.3">
      <c r="A25" s="278" t="str">
        <f t="shared" si="0"/>
        <v>Income Attributable to Consolidated Group</v>
      </c>
      <c r="B25" s="275">
        <f t="shared" si="1"/>
        <v>61330.6</v>
      </c>
      <c r="C25" s="275">
        <f t="shared" si="2"/>
        <v>0</v>
      </c>
      <c r="D25" s="275">
        <f t="shared" si="3"/>
        <v>46780.1</v>
      </c>
      <c r="E25" s="275">
        <f t="shared" si="4"/>
        <v>0</v>
      </c>
      <c r="F25" s="276">
        <f t="shared" si="5"/>
        <v>0</v>
      </c>
      <c r="G25" s="270" t="str">
        <f t="shared" si="6"/>
        <v>-</v>
      </c>
      <c r="H25" s="270" t="str">
        <f t="shared" si="7"/>
        <v>-</v>
      </c>
      <c r="K25" s="27" t="s">
        <v>524</v>
      </c>
      <c r="L25" s="28">
        <v>61330.6</v>
      </c>
      <c r="N25" s="27" t="s">
        <v>536</v>
      </c>
      <c r="O25" s="27">
        <v>0</v>
      </c>
      <c r="Q25" s="27" t="s">
        <v>524</v>
      </c>
      <c r="R25" s="28">
        <v>46780.1</v>
      </c>
      <c r="U25" s="27" t="s">
        <v>536</v>
      </c>
      <c r="V25" s="35">
        <v>0</v>
      </c>
      <c r="X25" s="27" t="s">
        <v>523</v>
      </c>
      <c r="Y25" s="27">
        <v>0</v>
      </c>
    </row>
    <row r="26" spans="1:25" ht="78" customHeight="1" x14ac:dyDescent="0.3">
      <c r="A26" s="278" t="str">
        <f t="shared" si="0"/>
        <v>EPS after Extraordinary items (in Rs)</v>
      </c>
      <c r="B26" s="275" t="str">
        <f t="shared" si="1"/>
        <v>-</v>
      </c>
      <c r="C26" s="275">
        <f t="shared" si="2"/>
        <v>44722</v>
      </c>
      <c r="D26" s="275" t="str">
        <f t="shared" si="3"/>
        <v>-</v>
      </c>
      <c r="E26" s="275">
        <f t="shared" si="4"/>
        <v>185473.8</v>
      </c>
      <c r="F26" s="276">
        <f t="shared" si="5"/>
        <v>176873.9</v>
      </c>
      <c r="G26" s="270" t="str">
        <f t="shared" si="6"/>
        <v>-</v>
      </c>
      <c r="H26" s="270" t="str">
        <f t="shared" si="7"/>
        <v>-</v>
      </c>
      <c r="K26" s="20" t="s">
        <v>525</v>
      </c>
      <c r="L26" s="27" t="s">
        <v>121</v>
      </c>
      <c r="N26" s="27" t="s">
        <v>537</v>
      </c>
      <c r="O26" s="28">
        <v>44722</v>
      </c>
      <c r="Q26" s="20" t="s">
        <v>525</v>
      </c>
      <c r="R26" s="27" t="s">
        <v>121</v>
      </c>
      <c r="U26" s="27" t="s">
        <v>537</v>
      </c>
      <c r="V26" s="29">
        <v>185473.8</v>
      </c>
      <c r="X26" s="27" t="s">
        <v>524</v>
      </c>
      <c r="Y26" s="28">
        <v>176873.9</v>
      </c>
    </row>
    <row r="27" spans="1:25" ht="108.75" customHeight="1" x14ac:dyDescent="0.3">
      <c r="A27" s="279" t="str">
        <f t="shared" si="0"/>
        <v>Exceptional Item</v>
      </c>
      <c r="B27" s="280">
        <f t="shared" si="1"/>
        <v>686.5</v>
      </c>
      <c r="C27" s="280">
        <f t="shared" si="2"/>
        <v>0</v>
      </c>
      <c r="D27" s="280">
        <f t="shared" si="3"/>
        <v>0</v>
      </c>
      <c r="E27" s="280">
        <f t="shared" si="4"/>
        <v>0</v>
      </c>
      <c r="F27" s="281" t="str">
        <f t="shared" si="5"/>
        <v>-</v>
      </c>
      <c r="G27" s="270" t="str">
        <f t="shared" si="6"/>
        <v>-</v>
      </c>
      <c r="H27" s="270" t="str">
        <f t="shared" si="7"/>
        <v>-</v>
      </c>
      <c r="K27" s="27" t="s">
        <v>526</v>
      </c>
      <c r="L27" s="27">
        <v>686.5</v>
      </c>
      <c r="N27" s="27" t="s">
        <v>538</v>
      </c>
      <c r="O27" s="27">
        <v>0</v>
      </c>
      <c r="Q27" s="27" t="s">
        <v>526</v>
      </c>
      <c r="R27" s="27">
        <v>0</v>
      </c>
      <c r="U27" s="27" t="s">
        <v>538</v>
      </c>
      <c r="V27" s="35">
        <v>0</v>
      </c>
      <c r="X27" s="20" t="s">
        <v>525</v>
      </c>
      <c r="Y27" s="27" t="s">
        <v>121</v>
      </c>
    </row>
    <row r="28" spans="1:25" ht="108.75" customHeight="1" x14ac:dyDescent="0.3">
      <c r="A28" s="278" t="str">
        <f t="shared" si="0"/>
        <v>Profit after Interest but before Exceptional Items</v>
      </c>
      <c r="B28" s="275">
        <f t="shared" si="1"/>
        <v>83416.3</v>
      </c>
      <c r="C28" s="275">
        <f t="shared" si="2"/>
        <v>0</v>
      </c>
      <c r="D28" s="275">
        <f t="shared" si="3"/>
        <v>63361.1</v>
      </c>
      <c r="E28" s="275">
        <f t="shared" si="4"/>
        <v>0</v>
      </c>
      <c r="F28" s="276">
        <f t="shared" si="5"/>
        <v>4747.8</v>
      </c>
      <c r="G28" s="270" t="str">
        <f t="shared" si="6"/>
        <v>-</v>
      </c>
      <c r="H28" s="270">
        <f t="shared" si="7"/>
        <v>16.569463751632334</v>
      </c>
      <c r="K28" s="27" t="s">
        <v>529</v>
      </c>
      <c r="L28" s="28">
        <v>83416.3</v>
      </c>
      <c r="N28" s="27" t="s">
        <v>539</v>
      </c>
      <c r="O28" s="27">
        <v>0</v>
      </c>
      <c r="Q28" s="27" t="s">
        <v>529</v>
      </c>
      <c r="R28" s="28">
        <v>63361.1</v>
      </c>
      <c r="U28" s="27" t="s">
        <v>539</v>
      </c>
      <c r="V28" s="35">
        <v>0</v>
      </c>
      <c r="X28" s="27" t="s">
        <v>526</v>
      </c>
      <c r="Y28" s="28">
        <v>4747.8</v>
      </c>
    </row>
    <row r="29" spans="1:25" ht="108.75" customHeight="1" x14ac:dyDescent="0.3">
      <c r="A29" s="267" t="str">
        <f t="shared" si="0"/>
        <v>Net Profit Loss for the period from continuing operations</v>
      </c>
      <c r="B29" s="268">
        <f t="shared" si="1"/>
        <v>63175.3</v>
      </c>
      <c r="C29" s="268">
        <f t="shared" si="2"/>
        <v>0</v>
      </c>
      <c r="D29" s="268">
        <f t="shared" si="3"/>
        <v>46870.9</v>
      </c>
      <c r="E29" s="268">
        <f t="shared" si="4"/>
        <v>0</v>
      </c>
      <c r="F29" s="269">
        <f t="shared" si="5"/>
        <v>231040.1</v>
      </c>
      <c r="G29" s="270" t="str">
        <f t="shared" si="6"/>
        <v>-</v>
      </c>
      <c r="H29" s="270">
        <f t="shared" si="7"/>
        <v>-0.7265613198747749</v>
      </c>
      <c r="K29" s="27" t="s">
        <v>531</v>
      </c>
      <c r="L29" s="28">
        <v>63175.3</v>
      </c>
      <c r="N29" s="27" t="s">
        <v>540</v>
      </c>
      <c r="O29" s="27">
        <v>0</v>
      </c>
      <c r="Q29" s="27" t="s">
        <v>531</v>
      </c>
      <c r="R29" s="28">
        <v>46870.9</v>
      </c>
      <c r="U29" s="27" t="s">
        <v>540</v>
      </c>
      <c r="V29" s="35">
        <v>0</v>
      </c>
      <c r="X29" s="27" t="s">
        <v>529</v>
      </c>
      <c r="Y29" s="28">
        <v>231040.1</v>
      </c>
    </row>
    <row r="30" spans="1:25" ht="108.75" customHeight="1" x14ac:dyDescent="0.3">
      <c r="A30" s="267" t="str">
        <f t="shared" si="0"/>
        <v>Profit (loss) from discontinuing operations before tax</v>
      </c>
      <c r="B30" s="268">
        <f t="shared" si="1"/>
        <v>0</v>
      </c>
      <c r="C30" s="268">
        <f t="shared" si="2"/>
        <v>0</v>
      </c>
      <c r="D30" s="268">
        <f t="shared" si="3"/>
        <v>0</v>
      </c>
      <c r="E30" s="268">
        <f t="shared" si="4"/>
        <v>0</v>
      </c>
      <c r="F30" s="269" t="str">
        <f t="shared" si="5"/>
        <v>-</v>
      </c>
      <c r="G30" s="270" t="str">
        <f t="shared" si="6"/>
        <v>-</v>
      </c>
      <c r="H30" s="270" t="str">
        <f t="shared" si="7"/>
        <v>-</v>
      </c>
      <c r="K30" s="27" t="s">
        <v>532</v>
      </c>
      <c r="L30" s="27">
        <v>0</v>
      </c>
      <c r="N30" s="27" t="s">
        <v>541</v>
      </c>
      <c r="O30" s="27">
        <v>0</v>
      </c>
      <c r="Q30" s="27" t="s">
        <v>532</v>
      </c>
      <c r="R30" s="27">
        <v>0</v>
      </c>
      <c r="U30" s="27" t="s">
        <v>541</v>
      </c>
      <c r="V30" s="35">
        <v>0</v>
      </c>
      <c r="X30" s="27" t="s">
        <v>531</v>
      </c>
      <c r="Y30" s="27" t="s">
        <v>121</v>
      </c>
    </row>
    <row r="31" spans="1:25" ht="108.75" customHeight="1" x14ac:dyDescent="0.3">
      <c r="A31" s="271" t="str">
        <f t="shared" si="0"/>
        <v>Tax expense of discontinuing operations</v>
      </c>
      <c r="B31" s="272">
        <f t="shared" si="1"/>
        <v>0</v>
      </c>
      <c r="C31" s="272">
        <f t="shared" si="2"/>
        <v>0</v>
      </c>
      <c r="D31" s="272">
        <f t="shared" si="3"/>
        <v>0</v>
      </c>
      <c r="E31" s="272">
        <f t="shared" si="4"/>
        <v>0</v>
      </c>
      <c r="F31" s="273">
        <f t="shared" si="5"/>
        <v>0</v>
      </c>
      <c r="G31" s="270" t="str">
        <f t="shared" si="6"/>
        <v>-</v>
      </c>
      <c r="H31" s="270" t="str">
        <f t="shared" si="7"/>
        <v>-</v>
      </c>
      <c r="K31" s="27" t="s">
        <v>533</v>
      </c>
      <c r="L31" s="27">
        <v>0</v>
      </c>
      <c r="N31" s="27" t="s">
        <v>542</v>
      </c>
      <c r="O31" s="27">
        <v>0</v>
      </c>
      <c r="Q31" s="27" t="s">
        <v>533</v>
      </c>
      <c r="R31" s="27">
        <v>0</v>
      </c>
      <c r="U31" s="27" t="s">
        <v>542</v>
      </c>
      <c r="V31" s="35">
        <v>0</v>
      </c>
      <c r="X31" s="27" t="s">
        <v>532</v>
      </c>
      <c r="Y31" s="27">
        <v>0</v>
      </c>
    </row>
    <row r="32" spans="1:25" ht="93" customHeight="1" x14ac:dyDescent="0.3">
      <c r="A32" s="267" t="str">
        <f t="shared" si="0"/>
        <v>Net profit (loss) from discontinuing operation after tax</v>
      </c>
      <c r="B32" s="268">
        <f t="shared" si="1"/>
        <v>0</v>
      </c>
      <c r="C32" s="268">
        <f t="shared" si="2"/>
        <v>-45.8</v>
      </c>
      <c r="D32" s="268">
        <f t="shared" si="3"/>
        <v>0</v>
      </c>
      <c r="E32" s="268">
        <f t="shared" si="4"/>
        <v>-2055.1999999999998</v>
      </c>
      <c r="F32" s="269">
        <f t="shared" si="5"/>
        <v>0</v>
      </c>
      <c r="G32" s="270">
        <f t="shared" si="6"/>
        <v>1</v>
      </c>
      <c r="H32" s="270" t="str">
        <f t="shared" si="7"/>
        <v>-</v>
      </c>
      <c r="K32" s="27" t="s">
        <v>534</v>
      </c>
      <c r="L32" s="27">
        <v>0</v>
      </c>
      <c r="N32" s="27" t="s">
        <v>543</v>
      </c>
      <c r="O32" s="27">
        <v>-45.8</v>
      </c>
      <c r="Q32" s="27" t="s">
        <v>534</v>
      </c>
      <c r="R32" s="27">
        <v>0</v>
      </c>
      <c r="U32" s="27" t="s">
        <v>543</v>
      </c>
      <c r="V32" s="29">
        <v>-2055.1999999999998</v>
      </c>
      <c r="X32" s="27" t="s">
        <v>533</v>
      </c>
      <c r="Y32" s="27">
        <v>0</v>
      </c>
    </row>
    <row r="33" spans="1:25" ht="93" customHeight="1" x14ac:dyDescent="0.3">
      <c r="A33" s="271" t="str">
        <f t="shared" si="0"/>
        <v>Other Comprehensive Income Net of Taxes</v>
      </c>
      <c r="B33" s="272">
        <f t="shared" si="1"/>
        <v>-17234.2</v>
      </c>
      <c r="C33" s="272">
        <f t="shared" si="2"/>
        <v>0</v>
      </c>
      <c r="D33" s="272">
        <f t="shared" si="3"/>
        <v>-4895.3999999999996</v>
      </c>
      <c r="E33" s="272">
        <f t="shared" si="4"/>
        <v>0</v>
      </c>
      <c r="F33" s="273">
        <f t="shared" si="5"/>
        <v>0</v>
      </c>
      <c r="G33" s="270" t="str">
        <f t="shared" si="6"/>
        <v>-</v>
      </c>
      <c r="H33" s="270" t="str">
        <f t="shared" si="7"/>
        <v>-</v>
      </c>
      <c r="K33" s="27" t="s">
        <v>535</v>
      </c>
      <c r="L33" s="28">
        <v>-17234.2</v>
      </c>
      <c r="N33" s="27"/>
      <c r="O33" s="36"/>
      <c r="Q33" s="27" t="s">
        <v>535</v>
      </c>
      <c r="R33" s="28">
        <v>-4895.3999999999996</v>
      </c>
      <c r="U33" s="27"/>
      <c r="V33" s="35"/>
      <c r="X33" s="27" t="s">
        <v>534</v>
      </c>
      <c r="Y33" s="27">
        <v>0</v>
      </c>
    </row>
    <row r="34" spans="1:25" ht="78" customHeight="1" x14ac:dyDescent="0.3">
      <c r="A34" s="278" t="str">
        <f t="shared" si="0"/>
        <v>Any Other Comprehensive Item</v>
      </c>
      <c r="B34" s="275">
        <f t="shared" si="1"/>
        <v>0</v>
      </c>
      <c r="C34" s="275">
        <f t="shared" si="2"/>
        <v>0</v>
      </c>
      <c r="D34" s="275">
        <f t="shared" si="3"/>
        <v>0</v>
      </c>
      <c r="E34" s="275">
        <f t="shared" si="4"/>
        <v>0</v>
      </c>
      <c r="F34" s="276">
        <f t="shared" si="5"/>
        <v>235787.9</v>
      </c>
      <c r="G34" s="266" t="str">
        <f t="shared" si="6"/>
        <v>-</v>
      </c>
      <c r="H34" s="266">
        <f t="shared" si="7"/>
        <v>-1</v>
      </c>
      <c r="K34" s="27" t="s">
        <v>536</v>
      </c>
      <c r="L34" s="27">
        <v>0</v>
      </c>
      <c r="Q34" s="27" t="s">
        <v>536</v>
      </c>
      <c r="R34" s="27">
        <v>0</v>
      </c>
      <c r="X34" s="27" t="s">
        <v>544</v>
      </c>
      <c r="Y34" s="28">
        <v>235787.9</v>
      </c>
    </row>
    <row r="35" spans="1:25" ht="78" customHeight="1" x14ac:dyDescent="0.3">
      <c r="A35" s="267" t="str">
        <f t="shared" si="0"/>
        <v>Total Comprehensive Income for the Period</v>
      </c>
      <c r="B35" s="268">
        <f t="shared" si="1"/>
        <v>44096.4</v>
      </c>
      <c r="C35" s="268">
        <f t="shared" si="2"/>
        <v>0</v>
      </c>
      <c r="D35" s="268">
        <f t="shared" si="3"/>
        <v>41884.699999999997</v>
      </c>
      <c r="E35" s="268">
        <f t="shared" si="4"/>
        <v>0</v>
      </c>
      <c r="F35" s="269">
        <f t="shared" si="5"/>
        <v>109.36</v>
      </c>
      <c r="G35" s="266" t="str">
        <f t="shared" si="6"/>
        <v>-</v>
      </c>
      <c r="H35" s="266">
        <f t="shared" si="7"/>
        <v>402.22238478419899</v>
      </c>
      <c r="K35" s="27" t="s">
        <v>537</v>
      </c>
      <c r="L35" s="28">
        <v>44096.4</v>
      </c>
      <c r="Q35" s="27" t="s">
        <v>537</v>
      </c>
      <c r="R35" s="28">
        <v>41884.699999999997</v>
      </c>
      <c r="X35" s="27" t="s">
        <v>545</v>
      </c>
      <c r="Y35" s="27">
        <v>109.36</v>
      </c>
    </row>
    <row r="36" spans="1:25" ht="108.75" customHeight="1" x14ac:dyDescent="0.3">
      <c r="A36" s="271" t="str">
        <f t="shared" si="0"/>
        <v>Total Amount of items that will not be reclassified to profit and loss</v>
      </c>
      <c r="B36" s="272">
        <f t="shared" si="1"/>
        <v>0</v>
      </c>
      <c r="C36" s="272">
        <f t="shared" si="2"/>
        <v>0</v>
      </c>
      <c r="D36" s="272">
        <f t="shared" si="3"/>
        <v>0</v>
      </c>
      <c r="E36" s="272">
        <f t="shared" si="4"/>
        <v>0</v>
      </c>
      <c r="F36" s="273">
        <f t="shared" si="5"/>
        <v>109.28</v>
      </c>
      <c r="G36" s="270" t="str">
        <f t="shared" si="6"/>
        <v>-</v>
      </c>
      <c r="H36" s="270">
        <f t="shared" si="7"/>
        <v>-1</v>
      </c>
      <c r="K36" s="27" t="s">
        <v>538</v>
      </c>
      <c r="L36" s="27">
        <v>0</v>
      </c>
      <c r="Q36" s="27" t="s">
        <v>538</v>
      </c>
      <c r="R36" s="27">
        <v>0</v>
      </c>
      <c r="X36" s="27" t="s">
        <v>546</v>
      </c>
      <c r="Y36" s="27">
        <v>109.28</v>
      </c>
    </row>
    <row r="37" spans="1:25" ht="108.75" customHeight="1" x14ac:dyDescent="0.3">
      <c r="A37" s="271" t="str">
        <f t="shared" si="0"/>
        <v>Income tax relating to items that will not be reclassified to profit or loss</v>
      </c>
      <c r="B37" s="272">
        <f t="shared" si="1"/>
        <v>0</v>
      </c>
      <c r="C37" s="272">
        <f t="shared" si="2"/>
        <v>0</v>
      </c>
      <c r="D37" s="272">
        <f t="shared" si="3"/>
        <v>0</v>
      </c>
      <c r="E37" s="272">
        <f t="shared" si="4"/>
        <v>0</v>
      </c>
      <c r="F37" s="273">
        <f t="shared" si="5"/>
        <v>0</v>
      </c>
      <c r="G37" s="266" t="str">
        <f t="shared" si="6"/>
        <v>-</v>
      </c>
      <c r="H37" s="266" t="str">
        <f t="shared" si="7"/>
        <v>-</v>
      </c>
      <c r="K37" s="27" t="s">
        <v>539</v>
      </c>
      <c r="L37" s="27">
        <v>0</v>
      </c>
      <c r="Q37" s="27" t="s">
        <v>539</v>
      </c>
      <c r="R37" s="27">
        <v>0</v>
      </c>
      <c r="X37" s="27"/>
      <c r="Y37" s="36"/>
    </row>
    <row r="38" spans="1:25" ht="108.75" customHeight="1" x14ac:dyDescent="0.3">
      <c r="A38" s="278" t="str">
        <f t="shared" si="0"/>
        <v>Total Amount of items that will be reclassified to profit and loss</v>
      </c>
      <c r="B38" s="275">
        <f t="shared" si="1"/>
        <v>0</v>
      </c>
      <c r="C38" s="275">
        <f t="shared" si="2"/>
        <v>0</v>
      </c>
      <c r="D38" s="275">
        <f t="shared" si="3"/>
        <v>0</v>
      </c>
      <c r="E38" s="275">
        <f t="shared" si="4"/>
        <v>0</v>
      </c>
      <c r="F38" s="276">
        <f t="shared" si="5"/>
        <v>0</v>
      </c>
      <c r="G38" s="270" t="str">
        <f t="shared" si="6"/>
        <v>-</v>
      </c>
      <c r="H38" s="270" t="str">
        <f t="shared" si="7"/>
        <v>-</v>
      </c>
      <c r="K38" s="27" t="s">
        <v>540</v>
      </c>
      <c r="L38" s="27">
        <v>0</v>
      </c>
      <c r="Q38" s="27" t="s">
        <v>540</v>
      </c>
      <c r="R38" s="27">
        <v>0</v>
      </c>
    </row>
    <row r="39" spans="1:25" ht="108.75" customHeight="1" x14ac:dyDescent="0.3">
      <c r="A39" s="278" t="str">
        <f t="shared" si="0"/>
        <v>Income tax relating to items that will be reclassified to profit or loss</v>
      </c>
      <c r="B39" s="275">
        <f t="shared" si="1"/>
        <v>0</v>
      </c>
      <c r="C39" s="275">
        <f t="shared" si="2"/>
        <v>0</v>
      </c>
      <c r="D39" s="275">
        <f t="shared" si="3"/>
        <v>0</v>
      </c>
      <c r="E39" s="275">
        <f t="shared" si="4"/>
        <v>0</v>
      </c>
      <c r="F39" s="276">
        <f t="shared" si="5"/>
        <v>0</v>
      </c>
      <c r="G39" s="266" t="str">
        <f t="shared" si="6"/>
        <v>-</v>
      </c>
      <c r="H39" s="270" t="str">
        <f t="shared" si="7"/>
        <v>-</v>
      </c>
      <c r="K39" s="27" t="s">
        <v>541</v>
      </c>
      <c r="L39" s="27">
        <v>0</v>
      </c>
      <c r="Q39" s="27" t="s">
        <v>541</v>
      </c>
      <c r="R39" s="27">
        <v>0</v>
      </c>
    </row>
    <row r="40" spans="1:25" ht="108.75" customHeight="1" x14ac:dyDescent="0.3">
      <c r="A40" s="278" t="str">
        <f t="shared" si="0"/>
        <v>Net movement in regulatory deferral account balances</v>
      </c>
      <c r="B40" s="275">
        <f t="shared" si="1"/>
        <v>0</v>
      </c>
      <c r="C40" s="275">
        <f t="shared" si="2"/>
        <v>0</v>
      </c>
      <c r="D40" s="275">
        <f t="shared" si="3"/>
        <v>0</v>
      </c>
      <c r="E40" s="275">
        <f t="shared" si="4"/>
        <v>0</v>
      </c>
      <c r="F40" s="276">
        <f t="shared" si="5"/>
        <v>0</v>
      </c>
      <c r="G40" s="270" t="str">
        <f t="shared" si="6"/>
        <v>-</v>
      </c>
      <c r="H40" s="270" t="str">
        <f t="shared" si="7"/>
        <v>-</v>
      </c>
      <c r="K40" s="27" t="s">
        <v>542</v>
      </c>
      <c r="L40" s="27">
        <v>0</v>
      </c>
      <c r="Q40" s="27" t="s">
        <v>542</v>
      </c>
      <c r="R40" s="27">
        <v>0</v>
      </c>
    </row>
    <row r="41" spans="1:25" ht="93" customHeight="1" x14ac:dyDescent="0.3">
      <c r="A41" s="274" t="str">
        <f t="shared" si="0"/>
        <v>Share of profit(loss) of associates and joint ventures</v>
      </c>
      <c r="B41" s="275">
        <f t="shared" si="1"/>
        <v>-1844.7</v>
      </c>
      <c r="C41" s="275">
        <f t="shared" si="2"/>
        <v>0</v>
      </c>
      <c r="D41" s="275">
        <f t="shared" si="3"/>
        <v>-90.8</v>
      </c>
      <c r="E41" s="275">
        <f t="shared" si="4"/>
        <v>0</v>
      </c>
      <c r="F41" s="276">
        <f t="shared" si="5"/>
        <v>0</v>
      </c>
      <c r="G41" s="266" t="str">
        <f t="shared" si="6"/>
        <v>-</v>
      </c>
      <c r="H41" s="266" t="str">
        <f t="shared" si="7"/>
        <v>-</v>
      </c>
      <c r="K41" s="27" t="s">
        <v>543</v>
      </c>
      <c r="L41" s="28">
        <v>-1844.7</v>
      </c>
      <c r="Q41" s="27" t="s">
        <v>543</v>
      </c>
      <c r="R41" s="27">
        <v>-90.8</v>
      </c>
    </row>
    <row r="42" spans="1:25" ht="62.25" customHeight="1" x14ac:dyDescent="0.3">
      <c r="A42" s="267" t="str">
        <f t="shared" si="0"/>
        <v>Basic EPS for continuing operation</v>
      </c>
      <c r="B42" s="268">
        <f t="shared" si="1"/>
        <v>38.71</v>
      </c>
      <c r="C42" s="268">
        <f t="shared" si="2"/>
        <v>0</v>
      </c>
      <c r="D42" s="268">
        <f t="shared" si="3"/>
        <v>28.54</v>
      </c>
      <c r="E42" s="268">
        <f t="shared" si="4"/>
        <v>0</v>
      </c>
      <c r="F42" s="269">
        <f t="shared" si="5"/>
        <v>0</v>
      </c>
      <c r="G42" s="270" t="str">
        <f t="shared" si="6"/>
        <v>-</v>
      </c>
      <c r="H42" s="270" t="str">
        <f t="shared" si="7"/>
        <v>-</v>
      </c>
      <c r="K42" s="27" t="s">
        <v>547</v>
      </c>
      <c r="L42" s="27">
        <v>38.71</v>
      </c>
      <c r="Q42" s="27" t="s">
        <v>547</v>
      </c>
      <c r="R42" s="27">
        <v>28.54</v>
      </c>
    </row>
    <row r="43" spans="1:25" ht="62.25" customHeight="1" x14ac:dyDescent="0.3">
      <c r="A43" s="274" t="str">
        <f t="shared" si="0"/>
        <v>Diluted EPS for continuing operation</v>
      </c>
      <c r="B43" s="282">
        <f t="shared" si="1"/>
        <v>38.700000000000003</v>
      </c>
      <c r="C43" s="282">
        <f t="shared" si="2"/>
        <v>0</v>
      </c>
      <c r="D43" s="282">
        <f t="shared" si="3"/>
        <v>28.53</v>
      </c>
      <c r="E43" s="282">
        <f t="shared" si="4"/>
        <v>0</v>
      </c>
      <c r="F43" s="283">
        <f t="shared" si="5"/>
        <v>0</v>
      </c>
      <c r="G43" s="266" t="str">
        <f t="shared" si="6"/>
        <v>-</v>
      </c>
      <c r="H43" s="266" t="str">
        <f t="shared" si="7"/>
        <v>-</v>
      </c>
      <c r="K43" s="27" t="s">
        <v>548</v>
      </c>
      <c r="L43" s="27">
        <v>38.700000000000003</v>
      </c>
      <c r="Q43" s="27" t="s">
        <v>548</v>
      </c>
      <c r="R43" s="27">
        <v>28.53</v>
      </c>
    </row>
    <row r="44" spans="1:25" ht="78" customHeight="1" x14ac:dyDescent="0.3">
      <c r="A44" s="278" t="str">
        <f t="shared" si="0"/>
        <v>Basic for discontinued &amp; continuing operation</v>
      </c>
      <c r="B44" s="282">
        <f t="shared" si="1"/>
        <v>0</v>
      </c>
      <c r="C44" s="282">
        <f t="shared" si="2"/>
        <v>0</v>
      </c>
      <c r="D44" s="282">
        <f t="shared" si="3"/>
        <v>0</v>
      </c>
      <c r="E44" s="282">
        <f t="shared" si="4"/>
        <v>0</v>
      </c>
      <c r="F44" s="283">
        <f t="shared" si="5"/>
        <v>0</v>
      </c>
      <c r="G44" s="266" t="str">
        <f t="shared" si="6"/>
        <v>-</v>
      </c>
      <c r="H44" s="266" t="str">
        <f t="shared" si="7"/>
        <v>-</v>
      </c>
      <c r="K44" s="27" t="s">
        <v>545</v>
      </c>
      <c r="L44" s="27">
        <v>0</v>
      </c>
      <c r="Q44" s="27" t="s">
        <v>545</v>
      </c>
      <c r="R44" s="27">
        <v>0</v>
      </c>
    </row>
    <row r="45" spans="1:25" ht="78" customHeight="1" x14ac:dyDescent="0.3">
      <c r="A45" s="278" t="str">
        <f t="shared" si="0"/>
        <v>Diluted for discontinued &amp; continuing operation</v>
      </c>
      <c r="B45" s="282">
        <f t="shared" si="1"/>
        <v>0</v>
      </c>
      <c r="C45" s="282">
        <f t="shared" si="2"/>
        <v>0</v>
      </c>
      <c r="D45" s="282">
        <f t="shared" si="3"/>
        <v>0</v>
      </c>
      <c r="E45" s="282">
        <f t="shared" si="4"/>
        <v>0</v>
      </c>
      <c r="F45" s="283">
        <f t="shared" si="5"/>
        <v>0</v>
      </c>
      <c r="G45" s="266" t="str">
        <f t="shared" si="6"/>
        <v>-</v>
      </c>
      <c r="H45" s="266" t="str">
        <f t="shared" si="7"/>
        <v>-</v>
      </c>
      <c r="K45" s="27" t="s">
        <v>546</v>
      </c>
      <c r="L45" s="27">
        <v>0</v>
      </c>
      <c r="Q45" s="27" t="s">
        <v>546</v>
      </c>
      <c r="R45" s="27">
        <v>0</v>
      </c>
    </row>
    <row r="46" spans="1:25" x14ac:dyDescent="0.3">
      <c r="A46" s="25"/>
      <c r="B46" s="37"/>
      <c r="C46" s="37"/>
      <c r="D46" s="37"/>
      <c r="E46" s="37"/>
      <c r="F46" s="38"/>
      <c r="G46" s="26"/>
      <c r="H46" s="26"/>
    </row>
    <row r="47" spans="1:25" x14ac:dyDescent="0.3">
      <c r="A47" s="30"/>
      <c r="B47" s="31"/>
      <c r="C47" s="31"/>
      <c r="D47" s="31"/>
      <c r="E47" s="31"/>
      <c r="F47" s="32"/>
      <c r="G47" s="33"/>
      <c r="H47" s="33"/>
    </row>
    <row r="48" spans="1:25" x14ac:dyDescent="0.3">
      <c r="A48" s="30"/>
      <c r="B48" s="31"/>
      <c r="C48" s="31"/>
      <c r="D48" s="31"/>
      <c r="E48" s="31"/>
      <c r="F48" s="32"/>
      <c r="G48" s="33"/>
      <c r="H48" s="33"/>
    </row>
    <row r="49" spans="1:8" x14ac:dyDescent="0.3">
      <c r="A49" s="19"/>
      <c r="B49" s="39"/>
      <c r="C49" s="39"/>
      <c r="D49" s="39"/>
      <c r="E49" s="39"/>
      <c r="F49" s="39"/>
      <c r="G49" s="26"/>
      <c r="H49" s="26"/>
    </row>
    <row r="50" spans="1:8" x14ac:dyDescent="0.3">
      <c r="A50" s="26"/>
      <c r="B50" s="34"/>
      <c r="C50" s="34"/>
      <c r="D50" s="34"/>
      <c r="E50" s="34"/>
      <c r="F50" s="34"/>
      <c r="G50" s="33"/>
      <c r="H50" s="33"/>
    </row>
    <row r="51" spans="1:8" x14ac:dyDescent="0.3">
      <c r="A51" s="26"/>
      <c r="B51" s="34"/>
      <c r="C51" s="34"/>
      <c r="D51" s="34"/>
      <c r="E51" s="34"/>
      <c r="F51" s="34"/>
      <c r="G51" s="33"/>
      <c r="H51" s="33"/>
    </row>
  </sheetData>
  <mergeCells count="4">
    <mergeCell ref="A1:F1"/>
    <mergeCell ref="B2:D2"/>
    <mergeCell ref="E2:F2"/>
    <mergeCell ref="G2:H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534"/>
  <sheetViews>
    <sheetView zoomScaleNormal="100" workbookViewId="0">
      <selection activeCell="G2" sqref="G2"/>
    </sheetView>
  </sheetViews>
  <sheetFormatPr defaultColWidth="8.6640625" defaultRowHeight="14.4" x14ac:dyDescent="0.3"/>
  <cols>
    <col min="1" max="1" width="10.33203125" customWidth="1"/>
    <col min="2" max="2" width="8.33203125" customWidth="1"/>
    <col min="3" max="3" width="12.5546875" customWidth="1"/>
    <col min="4" max="4" width="19.77734375" customWidth="1"/>
    <col min="5" max="5" width="12.6640625" customWidth="1"/>
    <col min="6" max="6" width="11" customWidth="1"/>
    <col min="7" max="7" width="12" customWidth="1"/>
    <col min="8" max="8" width="17.44140625" customWidth="1"/>
    <col min="9" max="9" width="12" customWidth="1"/>
    <col min="10" max="10" width="13.44140625" customWidth="1"/>
    <col min="11" max="12" width="12" customWidth="1"/>
    <col min="13" max="13" width="12.44140625" customWidth="1"/>
    <col min="14" max="14" width="12" customWidth="1"/>
    <col min="15" max="16" width="12.109375" customWidth="1"/>
  </cols>
  <sheetData>
    <row r="1" spans="1:13" ht="14.25" customHeight="1" x14ac:dyDescent="0.3">
      <c r="A1" s="40" t="s">
        <v>549</v>
      </c>
      <c r="B1" s="40" t="s">
        <v>550</v>
      </c>
      <c r="C1" s="40" t="s">
        <v>551</v>
      </c>
      <c r="D1" s="40" t="s">
        <v>552</v>
      </c>
      <c r="E1" s="40" t="s">
        <v>553</v>
      </c>
      <c r="F1" s="14" t="s">
        <v>879</v>
      </c>
      <c r="G1" s="14" t="s">
        <v>880</v>
      </c>
    </row>
    <row r="2" spans="1:13" ht="14.25" customHeight="1" x14ac:dyDescent="0.3">
      <c r="A2" s="41">
        <v>43922</v>
      </c>
      <c r="B2" s="42">
        <v>774.34997558593795</v>
      </c>
      <c r="C2" s="42">
        <v>8253.7998046875</v>
      </c>
      <c r="D2" s="14"/>
      <c r="E2" s="14"/>
      <c r="F2" s="14"/>
      <c r="G2" s="14"/>
    </row>
    <row r="3" spans="1:13" ht="14.25" customHeight="1" x14ac:dyDescent="0.3">
      <c r="A3" s="41">
        <v>43924</v>
      </c>
      <c r="B3" s="42">
        <v>774.65002441406295</v>
      </c>
      <c r="C3" s="42">
        <v>8083.7998046875</v>
      </c>
      <c r="D3" s="289">
        <f t="shared" ref="D3:D66" si="0">(C3-C2)/C2</f>
        <v>-2.0596574186770748E-2</v>
      </c>
      <c r="E3" s="289">
        <f t="shared" ref="E3:E66" si="1">(B3-B2)/B2</f>
        <v>3.8748477766523847E-4</v>
      </c>
      <c r="F3" s="289">
        <f>SLOPE(E3:E1534,D3:D1534)</f>
        <v>1.0792934700316774</v>
      </c>
      <c r="G3" s="289">
        <f>_xlfn.COVARIANCE.S(E3:E1534,D3:D1534)/_xlfn.VAR.S(D3:D1534)</f>
        <v>1.0792934700316743</v>
      </c>
      <c r="H3" s="15" t="s">
        <v>554</v>
      </c>
    </row>
    <row r="4" spans="1:13" ht="15" customHeight="1" x14ac:dyDescent="0.3">
      <c r="A4" s="41">
        <v>43928</v>
      </c>
      <c r="B4" s="42">
        <v>801.65002441406295</v>
      </c>
      <c r="C4" s="42">
        <v>8792.2001953125</v>
      </c>
      <c r="D4" s="289">
        <f t="shared" si="0"/>
        <v>8.7632104671150374E-2</v>
      </c>
      <c r="E4" s="289">
        <f t="shared" si="1"/>
        <v>3.485444929847193E-2</v>
      </c>
      <c r="F4" s="14"/>
      <c r="G4" s="14"/>
    </row>
    <row r="5" spans="1:13" ht="14.25" customHeight="1" x14ac:dyDescent="0.3">
      <c r="A5" s="41">
        <v>43929</v>
      </c>
      <c r="B5" s="42">
        <v>807.09997558593795</v>
      </c>
      <c r="C5" s="42">
        <v>8748.75</v>
      </c>
      <c r="D5" s="289">
        <f t="shared" si="0"/>
        <v>-4.9419024075071866E-3</v>
      </c>
      <c r="E5" s="289">
        <f t="shared" si="1"/>
        <v>6.7984170222641039E-3</v>
      </c>
      <c r="F5" s="14"/>
      <c r="G5" s="14"/>
      <c r="H5" s="195" t="s">
        <v>555</v>
      </c>
      <c r="I5" s="195"/>
    </row>
    <row r="6" spans="1:13" ht="14.25" customHeight="1" x14ac:dyDescent="0.3">
      <c r="A6" s="41">
        <v>43930</v>
      </c>
      <c r="B6" s="42">
        <v>812.79998779296898</v>
      </c>
      <c r="C6" s="42">
        <v>9111.900390625</v>
      </c>
      <c r="D6" s="289">
        <f t="shared" si="0"/>
        <v>4.1508831618802686E-2</v>
      </c>
      <c r="E6" s="289">
        <f t="shared" si="1"/>
        <v>7.0623372313856547E-3</v>
      </c>
      <c r="F6" s="14"/>
      <c r="G6" s="14"/>
      <c r="H6" s="15" t="s">
        <v>556</v>
      </c>
      <c r="I6">
        <v>0.64267827927258703</v>
      </c>
    </row>
    <row r="7" spans="1:13" ht="14.25" customHeight="1" x14ac:dyDescent="0.3">
      <c r="A7" s="41">
        <v>43934</v>
      </c>
      <c r="B7" s="42">
        <v>865.45001220703102</v>
      </c>
      <c r="C7" s="42">
        <v>8993.849609375</v>
      </c>
      <c r="D7" s="289">
        <f t="shared" si="0"/>
        <v>-1.2955670737079107E-2</v>
      </c>
      <c r="E7" s="289">
        <f t="shared" si="1"/>
        <v>6.4776113686990738E-2</v>
      </c>
      <c r="F7" s="14"/>
      <c r="G7" s="14"/>
      <c r="H7" s="15" t="s">
        <v>557</v>
      </c>
      <c r="I7">
        <v>0.41303537064877299</v>
      </c>
    </row>
    <row r="8" spans="1:13" ht="14.25" customHeight="1" x14ac:dyDescent="0.3">
      <c r="A8" s="41">
        <v>43936</v>
      </c>
      <c r="B8" s="42">
        <v>880.15002441406295</v>
      </c>
      <c r="C8" s="42">
        <v>8925.2998046875</v>
      </c>
      <c r="D8" s="289">
        <f t="shared" si="0"/>
        <v>-7.6218535626885646E-3</v>
      </c>
      <c r="E8" s="289">
        <f t="shared" si="1"/>
        <v>1.6985397191854712E-2</v>
      </c>
      <c r="F8" s="14"/>
      <c r="G8" s="14"/>
      <c r="H8" s="15" t="s">
        <v>558</v>
      </c>
      <c r="I8">
        <v>0.41265173363612501</v>
      </c>
    </row>
    <row r="9" spans="1:13" ht="14.25" customHeight="1" x14ac:dyDescent="0.3">
      <c r="A9" s="41">
        <v>43937</v>
      </c>
      <c r="B9" s="42">
        <v>911.65002441406295</v>
      </c>
      <c r="C9" s="42">
        <v>8992.7998046875</v>
      </c>
      <c r="D9" s="289">
        <f t="shared" si="0"/>
        <v>7.5627711647903986E-3</v>
      </c>
      <c r="E9" s="289">
        <f t="shared" si="1"/>
        <v>3.57893530946276E-2</v>
      </c>
      <c r="F9" s="14"/>
      <c r="G9" s="14"/>
      <c r="H9" s="15" t="s">
        <v>559</v>
      </c>
      <c r="I9">
        <v>1.2615504918693799E-2</v>
      </c>
    </row>
    <row r="10" spans="1:13" ht="15" customHeight="1" x14ac:dyDescent="0.3">
      <c r="A10" s="41">
        <v>43938</v>
      </c>
      <c r="B10" s="42">
        <v>932.90002441406295</v>
      </c>
      <c r="C10" s="42">
        <v>9266.75</v>
      </c>
      <c r="D10" s="289">
        <f t="shared" si="0"/>
        <v>3.0463281876874804E-2</v>
      </c>
      <c r="E10" s="289">
        <f t="shared" si="1"/>
        <v>2.3309383459576859E-2</v>
      </c>
      <c r="F10" s="14"/>
      <c r="G10" s="14"/>
      <c r="H10" s="44" t="s">
        <v>560</v>
      </c>
      <c r="I10" s="44">
        <v>1532</v>
      </c>
    </row>
    <row r="11" spans="1:13" ht="14.25" customHeight="1" x14ac:dyDescent="0.3">
      <c r="A11" s="41">
        <v>43941</v>
      </c>
      <c r="B11" s="42">
        <v>915.59997558593795</v>
      </c>
      <c r="C11" s="42">
        <v>9261.849609375</v>
      </c>
      <c r="D11" s="289">
        <f t="shared" si="0"/>
        <v>-5.2881437666927461E-4</v>
      </c>
      <c r="E11" s="289">
        <f t="shared" si="1"/>
        <v>-1.8544376005339733E-2</v>
      </c>
      <c r="F11" s="14"/>
      <c r="G11" s="14"/>
    </row>
    <row r="12" spans="1:13" ht="15" customHeight="1" x14ac:dyDescent="0.3">
      <c r="A12" s="41">
        <v>43942</v>
      </c>
      <c r="B12" s="42">
        <v>870.34997558593795</v>
      </c>
      <c r="C12" s="42">
        <v>8981.4501953125</v>
      </c>
      <c r="D12" s="289">
        <f t="shared" si="0"/>
        <v>-3.0274667144095602E-2</v>
      </c>
      <c r="E12" s="289">
        <f t="shared" si="1"/>
        <v>-4.9421145922423464E-2</v>
      </c>
      <c r="F12" s="14"/>
      <c r="G12" s="14"/>
      <c r="H12" s="15" t="s">
        <v>561</v>
      </c>
    </row>
    <row r="13" spans="1:13" ht="14.25" customHeight="1" x14ac:dyDescent="0.3">
      <c r="A13" s="41">
        <v>43943</v>
      </c>
      <c r="B13" s="42">
        <v>852.59997558593795</v>
      </c>
      <c r="C13" s="42">
        <v>9187.2998046875</v>
      </c>
      <c r="D13" s="289">
        <f t="shared" si="0"/>
        <v>2.2919417788725787E-2</v>
      </c>
      <c r="E13" s="289">
        <f t="shared" si="1"/>
        <v>-2.0394094901939101E-2</v>
      </c>
      <c r="F13" s="14"/>
      <c r="G13" s="14"/>
      <c r="H13" s="43"/>
      <c r="I13" s="43" t="s">
        <v>562</v>
      </c>
      <c r="J13" s="43" t="s">
        <v>563</v>
      </c>
      <c r="K13" s="43" t="s">
        <v>564</v>
      </c>
      <c r="L13" s="43" t="s">
        <v>565</v>
      </c>
      <c r="M13" s="43" t="s">
        <v>566</v>
      </c>
    </row>
    <row r="14" spans="1:13" ht="14.25" customHeight="1" x14ac:dyDescent="0.3">
      <c r="A14" s="41">
        <v>43944</v>
      </c>
      <c r="B14" s="42">
        <v>840.59997558593795</v>
      </c>
      <c r="C14" s="42">
        <v>9313.900390625</v>
      </c>
      <c r="D14" s="289">
        <f t="shared" si="0"/>
        <v>1.3779955877014752E-2</v>
      </c>
      <c r="E14" s="289">
        <f t="shared" si="1"/>
        <v>-1.4074595758407289E-2</v>
      </c>
      <c r="F14" s="14"/>
      <c r="G14" s="14"/>
      <c r="H14" s="15" t="s">
        <v>567</v>
      </c>
      <c r="I14">
        <v>1</v>
      </c>
      <c r="J14">
        <v>0.17134680800788901</v>
      </c>
      <c r="K14">
        <v>0.17134680800788901</v>
      </c>
      <c r="L14">
        <v>1076.6306613587799</v>
      </c>
      <c r="M14">
        <v>3.0850009488023002E-179</v>
      </c>
    </row>
    <row r="15" spans="1:13" ht="14.25" customHeight="1" x14ac:dyDescent="0.3">
      <c r="A15" s="41">
        <v>43945</v>
      </c>
      <c r="B15" s="42">
        <v>851.20001220703102</v>
      </c>
      <c r="C15" s="42">
        <v>9154.400390625</v>
      </c>
      <c r="D15" s="289">
        <f t="shared" si="0"/>
        <v>-1.7124941572334865E-2</v>
      </c>
      <c r="E15" s="289">
        <f t="shared" si="1"/>
        <v>1.2610084378963181E-2</v>
      </c>
      <c r="F15" s="14"/>
      <c r="G15" s="14"/>
      <c r="H15" s="15" t="s">
        <v>568</v>
      </c>
      <c r="I15">
        <v>1530</v>
      </c>
      <c r="J15">
        <v>0.24350097546098701</v>
      </c>
      <c r="K15">
        <v>1.5915096435358599E-4</v>
      </c>
    </row>
    <row r="16" spans="1:13" ht="15" customHeight="1" x14ac:dyDescent="0.3">
      <c r="A16" s="41">
        <v>43948</v>
      </c>
      <c r="B16" s="42">
        <v>855.25</v>
      </c>
      <c r="C16" s="42">
        <v>9282.2998046875</v>
      </c>
      <c r="D16" s="289">
        <f t="shared" si="0"/>
        <v>1.3971358975458566E-2</v>
      </c>
      <c r="E16" s="289">
        <f t="shared" si="1"/>
        <v>4.7579743126036625E-3</v>
      </c>
      <c r="F16" s="14"/>
      <c r="G16" s="14"/>
      <c r="H16" s="44" t="s">
        <v>569</v>
      </c>
      <c r="I16" s="44">
        <v>1531</v>
      </c>
      <c r="J16" s="44">
        <v>0.41484778346887602</v>
      </c>
      <c r="K16" s="44"/>
      <c r="L16" s="44"/>
      <c r="M16" s="44"/>
    </row>
    <row r="17" spans="1:16" ht="15" customHeight="1" x14ac:dyDescent="0.3">
      <c r="A17" s="41">
        <v>43949</v>
      </c>
      <c r="B17" s="42">
        <v>857.15002441406295</v>
      </c>
      <c r="C17" s="42">
        <v>9380.900390625</v>
      </c>
      <c r="D17" s="289">
        <f t="shared" si="0"/>
        <v>1.0622430648890199E-2</v>
      </c>
      <c r="E17" s="289">
        <f t="shared" si="1"/>
        <v>2.22160118569185E-3</v>
      </c>
      <c r="F17" s="14"/>
      <c r="G17" s="14"/>
    </row>
    <row r="18" spans="1:16" ht="14.25" customHeight="1" x14ac:dyDescent="0.3">
      <c r="A18" s="41">
        <v>43950</v>
      </c>
      <c r="B18" s="42">
        <v>875.34997558593795</v>
      </c>
      <c r="C18" s="42">
        <v>9553.349609375</v>
      </c>
      <c r="D18" s="289">
        <f t="shared" si="0"/>
        <v>1.838301352419654E-2</v>
      </c>
      <c r="E18" s="289">
        <f t="shared" si="1"/>
        <v>2.1233098819913421E-2</v>
      </c>
      <c r="F18" s="14"/>
      <c r="G18" s="14"/>
      <c r="H18" s="43"/>
      <c r="I18" s="43" t="s">
        <v>570</v>
      </c>
      <c r="J18" s="43" t="s">
        <v>559</v>
      </c>
      <c r="K18" s="43" t="s">
        <v>571</v>
      </c>
      <c r="L18" s="43" t="s">
        <v>572</v>
      </c>
      <c r="M18" s="43" t="s">
        <v>573</v>
      </c>
      <c r="N18" s="43" t="s">
        <v>574</v>
      </c>
      <c r="O18" s="43" t="s">
        <v>575</v>
      </c>
      <c r="P18" s="43" t="s">
        <v>576</v>
      </c>
    </row>
    <row r="19" spans="1:16" ht="14.25" customHeight="1" x14ac:dyDescent="0.3">
      <c r="A19" s="41">
        <v>43951</v>
      </c>
      <c r="B19" s="42">
        <v>897.54998779296898</v>
      </c>
      <c r="C19" s="42">
        <v>9859.900390625</v>
      </c>
      <c r="D19" s="289">
        <f t="shared" si="0"/>
        <v>3.2088303452139151E-2</v>
      </c>
      <c r="E19" s="289">
        <f t="shared" si="1"/>
        <v>2.5361298710462492E-2</v>
      </c>
      <c r="F19" s="14"/>
      <c r="G19" s="14"/>
      <c r="H19" s="15" t="s">
        <v>577</v>
      </c>
      <c r="I19">
        <v>4.3380080246459702E-4</v>
      </c>
      <c r="J19">
        <v>3.2324044016848302E-4</v>
      </c>
      <c r="K19">
        <v>1.3420375316853499</v>
      </c>
      <c r="L19">
        <v>0.179782943389758</v>
      </c>
      <c r="M19">
        <v>-2.00240394203445E-4</v>
      </c>
      <c r="N19">
        <v>1.0678419991326401E-3</v>
      </c>
      <c r="O19">
        <v>-2.00240394203445E-4</v>
      </c>
      <c r="P19">
        <v>1.0678419991326401E-3</v>
      </c>
    </row>
    <row r="20" spans="1:16" ht="15" customHeight="1" x14ac:dyDescent="0.3">
      <c r="A20" s="41">
        <v>43955</v>
      </c>
      <c r="B20" s="42">
        <v>850.65002441406295</v>
      </c>
      <c r="C20" s="42">
        <v>9293.5</v>
      </c>
      <c r="D20" s="289">
        <f t="shared" si="0"/>
        <v>-5.7444839013134998E-2</v>
      </c>
      <c r="E20" s="289">
        <f t="shared" si="1"/>
        <v>-5.2253316268468471E-2</v>
      </c>
      <c r="F20" s="14"/>
      <c r="G20" s="14"/>
      <c r="H20" s="44" t="s">
        <v>578</v>
      </c>
      <c r="I20" s="45">
        <v>1.0792934700316701</v>
      </c>
      <c r="J20" s="44">
        <v>3.2893203926875003E-2</v>
      </c>
      <c r="K20" s="44">
        <v>32.8120505509604</v>
      </c>
      <c r="L20" s="44">
        <v>3.0850009488017701E-179</v>
      </c>
      <c r="M20" s="44">
        <v>1.01477293426835</v>
      </c>
      <c r="N20" s="44">
        <v>1.1438140057949899</v>
      </c>
      <c r="O20" s="44">
        <v>1.01477293426835</v>
      </c>
      <c r="P20" s="44">
        <v>1.1438140057949899</v>
      </c>
    </row>
    <row r="21" spans="1:16" ht="14.25" customHeight="1" x14ac:dyDescent="0.3">
      <c r="A21" s="41">
        <v>43956</v>
      </c>
      <c r="B21" s="42">
        <v>836.90002441406295</v>
      </c>
      <c r="C21" s="42">
        <v>9205.599609375</v>
      </c>
      <c r="D21" s="289">
        <f t="shared" si="0"/>
        <v>-9.4582655216011186E-3</v>
      </c>
      <c r="E21" s="289">
        <f t="shared" si="1"/>
        <v>-1.6164109334471776E-2</v>
      </c>
      <c r="F21" s="14"/>
      <c r="G21" s="14"/>
    </row>
    <row r="22" spans="1:16" ht="14.25" customHeight="1" x14ac:dyDescent="0.3">
      <c r="A22" s="41">
        <v>43957</v>
      </c>
      <c r="B22" s="42">
        <v>837.29998779296898</v>
      </c>
      <c r="C22" s="42">
        <v>9270.900390625</v>
      </c>
      <c r="D22" s="289">
        <f t="shared" si="0"/>
        <v>7.0935934671216378E-3</v>
      </c>
      <c r="E22" s="289">
        <f t="shared" si="1"/>
        <v>4.7791058338903522E-4</v>
      </c>
      <c r="F22" s="14"/>
      <c r="G22" s="14"/>
    </row>
    <row r="23" spans="1:16" ht="14.25" customHeight="1" x14ac:dyDescent="0.3">
      <c r="A23" s="41">
        <v>43958</v>
      </c>
      <c r="B23" s="42">
        <v>822.84997558593795</v>
      </c>
      <c r="C23" s="42">
        <v>9199.0498046875</v>
      </c>
      <c r="D23" s="289">
        <f t="shared" si="0"/>
        <v>-7.7501195040513404E-3</v>
      </c>
      <c r="E23" s="289">
        <f t="shared" si="1"/>
        <v>-1.7257867452165707E-2</v>
      </c>
      <c r="F23" s="14"/>
      <c r="G23" s="14"/>
    </row>
    <row r="24" spans="1:16" ht="14.25" customHeight="1" x14ac:dyDescent="0.3">
      <c r="A24" s="41">
        <v>43959</v>
      </c>
      <c r="B24" s="42">
        <v>815.95001220703102</v>
      </c>
      <c r="C24" s="42">
        <v>9251.5</v>
      </c>
      <c r="D24" s="289">
        <f t="shared" si="0"/>
        <v>5.7016970693835461E-3</v>
      </c>
      <c r="E24" s="289">
        <f t="shared" si="1"/>
        <v>-8.3854452009840333E-3</v>
      </c>
      <c r="F24" s="14"/>
      <c r="G24" s="14"/>
    </row>
    <row r="25" spans="1:16" ht="14.25" customHeight="1" x14ac:dyDescent="0.3">
      <c r="A25" s="41">
        <v>43962</v>
      </c>
      <c r="B25" s="42">
        <v>821.59997558593795</v>
      </c>
      <c r="C25" s="42">
        <v>9239.2001953125</v>
      </c>
      <c r="D25" s="289">
        <f t="shared" si="0"/>
        <v>-1.3294930214019349E-3</v>
      </c>
      <c r="E25" s="289">
        <f t="shared" si="1"/>
        <v>6.9243989146155769E-3</v>
      </c>
      <c r="F25" s="14"/>
      <c r="G25" s="14"/>
    </row>
    <row r="26" spans="1:16" ht="14.25" customHeight="1" x14ac:dyDescent="0.3">
      <c r="A26" s="41">
        <v>43963</v>
      </c>
      <c r="B26" s="42">
        <v>814.79998779296898</v>
      </c>
      <c r="C26" s="42">
        <v>9196.5498046875</v>
      </c>
      <c r="D26" s="289">
        <f t="shared" si="0"/>
        <v>-4.6162427183511663E-3</v>
      </c>
      <c r="E26" s="289">
        <f t="shared" si="1"/>
        <v>-8.2765189812955518E-3</v>
      </c>
      <c r="F26" s="14"/>
      <c r="G26" s="14"/>
    </row>
    <row r="27" spans="1:16" ht="14.25" customHeight="1" x14ac:dyDescent="0.3">
      <c r="A27" s="41">
        <v>43964</v>
      </c>
      <c r="B27" s="42">
        <v>862.90002441406295</v>
      </c>
      <c r="C27" s="42">
        <v>9383.5498046875</v>
      </c>
      <c r="D27" s="289">
        <f t="shared" si="0"/>
        <v>2.0333712530397619E-2</v>
      </c>
      <c r="E27" s="289">
        <f t="shared" si="1"/>
        <v>5.9032937336414917E-2</v>
      </c>
      <c r="F27" s="14"/>
      <c r="G27" s="14"/>
    </row>
    <row r="28" spans="1:16" ht="14.25" customHeight="1" x14ac:dyDescent="0.3">
      <c r="A28" s="41">
        <v>43965</v>
      </c>
      <c r="B28" s="42">
        <v>871.65002441406295</v>
      </c>
      <c r="C28" s="42">
        <v>9142.75</v>
      </c>
      <c r="D28" s="289">
        <f t="shared" si="0"/>
        <v>-2.5661909373274686E-2</v>
      </c>
      <c r="E28" s="289">
        <f t="shared" si="1"/>
        <v>1.0140224536372604E-2</v>
      </c>
      <c r="F28" s="14"/>
      <c r="G28" s="14"/>
    </row>
    <row r="29" spans="1:16" ht="14.25" customHeight="1" x14ac:dyDescent="0.3">
      <c r="A29" s="41">
        <v>43966</v>
      </c>
      <c r="B29" s="42">
        <v>864.40002441406295</v>
      </c>
      <c r="C29" s="42">
        <v>9136.849609375</v>
      </c>
      <c r="D29" s="289">
        <f t="shared" si="0"/>
        <v>-6.453627874545405E-4</v>
      </c>
      <c r="E29" s="289">
        <f t="shared" si="1"/>
        <v>-8.3175584201624561E-3</v>
      </c>
      <c r="F29" s="14"/>
      <c r="G29" s="14"/>
    </row>
    <row r="30" spans="1:16" ht="14.25" customHeight="1" x14ac:dyDescent="0.3">
      <c r="A30" s="41">
        <v>43969</v>
      </c>
      <c r="B30" s="42">
        <v>813.34997558593795</v>
      </c>
      <c r="C30" s="42">
        <v>8823.25</v>
      </c>
      <c r="D30" s="289">
        <f t="shared" si="0"/>
        <v>-3.4322509703259917E-2</v>
      </c>
      <c r="E30" s="289">
        <f t="shared" si="1"/>
        <v>-5.9058361159498439E-2</v>
      </c>
      <c r="F30" s="14"/>
      <c r="G30" s="14"/>
    </row>
    <row r="31" spans="1:16" ht="14.25" customHeight="1" x14ac:dyDescent="0.3">
      <c r="A31" s="41">
        <v>43970</v>
      </c>
      <c r="B31" s="42">
        <v>796.34997558593795</v>
      </c>
      <c r="C31" s="42">
        <v>8879.099609375</v>
      </c>
      <c r="D31" s="289">
        <f t="shared" si="0"/>
        <v>6.3298228402232735E-3</v>
      </c>
      <c r="E31" s="289">
        <f t="shared" si="1"/>
        <v>-2.0901211668142225E-2</v>
      </c>
      <c r="F31" s="14"/>
      <c r="G31" s="14"/>
    </row>
    <row r="32" spans="1:16" ht="14.25" customHeight="1" x14ac:dyDescent="0.3">
      <c r="A32" s="41">
        <v>43971</v>
      </c>
      <c r="B32" s="42">
        <v>835</v>
      </c>
      <c r="C32" s="42">
        <v>9066.5498046875</v>
      </c>
      <c r="D32" s="289">
        <f t="shared" si="0"/>
        <v>2.1111396826157987E-2</v>
      </c>
      <c r="E32" s="289">
        <f t="shared" si="1"/>
        <v>4.8533968228760417E-2</v>
      </c>
      <c r="F32" s="14"/>
      <c r="G32" s="14"/>
    </row>
    <row r="33" spans="1:7" ht="14.25" customHeight="1" x14ac:dyDescent="0.3">
      <c r="A33" s="41">
        <v>43972</v>
      </c>
      <c r="B33" s="42">
        <v>820.5</v>
      </c>
      <c r="C33" s="42">
        <v>9106.25</v>
      </c>
      <c r="D33" s="289">
        <f t="shared" si="0"/>
        <v>4.378754451001261E-3</v>
      </c>
      <c r="E33" s="289">
        <f t="shared" si="1"/>
        <v>-1.7365269461077845E-2</v>
      </c>
      <c r="F33" s="14"/>
      <c r="G33" s="14"/>
    </row>
    <row r="34" spans="1:7" ht="14.25" customHeight="1" x14ac:dyDescent="0.3">
      <c r="A34" s="41">
        <v>43973</v>
      </c>
      <c r="B34" s="42">
        <v>815.70001220703102</v>
      </c>
      <c r="C34" s="42">
        <v>9039.25</v>
      </c>
      <c r="D34" s="289">
        <f t="shared" si="0"/>
        <v>-7.3575840768702813E-3</v>
      </c>
      <c r="E34" s="289">
        <f t="shared" si="1"/>
        <v>-5.8500765301267247E-3</v>
      </c>
      <c r="F34" s="14"/>
      <c r="G34" s="14"/>
    </row>
    <row r="35" spans="1:7" ht="14.25" customHeight="1" x14ac:dyDescent="0.3">
      <c r="A35" s="41">
        <v>43977</v>
      </c>
      <c r="B35" s="42">
        <v>825.54998779296898</v>
      </c>
      <c r="C35" s="42">
        <v>9029.0498046875</v>
      </c>
      <c r="D35" s="289">
        <f t="shared" si="0"/>
        <v>-1.1284338094974694E-3</v>
      </c>
      <c r="E35" s="289">
        <f t="shared" si="1"/>
        <v>1.2075487849126028E-2</v>
      </c>
      <c r="F35" s="14"/>
      <c r="G35" s="14"/>
    </row>
    <row r="36" spans="1:7" ht="14.25" customHeight="1" x14ac:dyDescent="0.3">
      <c r="A36" s="41">
        <v>43978</v>
      </c>
      <c r="B36" s="42">
        <v>850.84997558593795</v>
      </c>
      <c r="C36" s="42">
        <v>9314.9501953125</v>
      </c>
      <c r="D36" s="289">
        <f t="shared" si="0"/>
        <v>3.1664504771761547E-2</v>
      </c>
      <c r="E36" s="289">
        <f t="shared" si="1"/>
        <v>3.064622150937963E-2</v>
      </c>
      <c r="F36" s="14"/>
      <c r="G36" s="14"/>
    </row>
    <row r="37" spans="1:7" ht="14.25" customHeight="1" x14ac:dyDescent="0.3">
      <c r="A37" s="41">
        <v>43979</v>
      </c>
      <c r="B37" s="42">
        <v>905.5</v>
      </c>
      <c r="C37" s="42">
        <v>9490.099609375</v>
      </c>
      <c r="D37" s="289">
        <f t="shared" si="0"/>
        <v>1.8803043536468854E-2</v>
      </c>
      <c r="E37" s="289">
        <f t="shared" si="1"/>
        <v>6.4229918296027796E-2</v>
      </c>
      <c r="F37" s="14"/>
      <c r="G37" s="14"/>
    </row>
    <row r="38" spans="1:7" ht="14.25" customHeight="1" x14ac:dyDescent="0.3">
      <c r="A38" s="41">
        <v>43980</v>
      </c>
      <c r="B38" s="42">
        <v>932.25</v>
      </c>
      <c r="C38" s="42">
        <v>9580.2998046875</v>
      </c>
      <c r="D38" s="289">
        <f t="shared" si="0"/>
        <v>9.5046626511057671E-3</v>
      </c>
      <c r="E38" s="289">
        <f t="shared" si="1"/>
        <v>2.9541689674213143E-2</v>
      </c>
      <c r="F38" s="14"/>
      <c r="G38" s="14"/>
    </row>
    <row r="39" spans="1:7" ht="14.25" customHeight="1" x14ac:dyDescent="0.3">
      <c r="A39" s="41">
        <v>43983</v>
      </c>
      <c r="B39" s="42">
        <v>928.15002441406295</v>
      </c>
      <c r="C39" s="42">
        <v>9826.150390625</v>
      </c>
      <c r="D39" s="289">
        <f t="shared" si="0"/>
        <v>2.5662097319460599E-2</v>
      </c>
      <c r="E39" s="289">
        <f t="shared" si="1"/>
        <v>-4.3979357317640603E-3</v>
      </c>
      <c r="F39" s="14"/>
      <c r="G39" s="14"/>
    </row>
    <row r="40" spans="1:7" ht="14.25" customHeight="1" x14ac:dyDescent="0.3">
      <c r="A40" s="41">
        <v>43984</v>
      </c>
      <c r="B40" s="42">
        <v>945.45001220703102</v>
      </c>
      <c r="C40" s="42">
        <v>9979.099609375</v>
      </c>
      <c r="D40" s="289">
        <f t="shared" si="0"/>
        <v>1.556552797074293E-2</v>
      </c>
      <c r="E40" s="289">
        <f t="shared" si="1"/>
        <v>1.8639214930678341E-2</v>
      </c>
      <c r="F40" s="14"/>
      <c r="G40" s="14"/>
    </row>
    <row r="41" spans="1:7" ht="14.25" customHeight="1" x14ac:dyDescent="0.3">
      <c r="A41" s="41">
        <v>43985</v>
      </c>
      <c r="B41" s="42">
        <v>961.29998779296898</v>
      </c>
      <c r="C41" s="42">
        <v>10061.5498046875</v>
      </c>
      <c r="D41" s="289">
        <f t="shared" si="0"/>
        <v>8.262288035990847E-3</v>
      </c>
      <c r="E41" s="289">
        <f t="shared" si="1"/>
        <v>1.6764477636356714E-2</v>
      </c>
      <c r="F41" s="14"/>
      <c r="G41" s="14"/>
    </row>
    <row r="42" spans="1:7" ht="14.25" customHeight="1" x14ac:dyDescent="0.3">
      <c r="A42" s="41">
        <v>43986</v>
      </c>
      <c r="B42" s="42">
        <v>930.70001220703102</v>
      </c>
      <c r="C42" s="42">
        <v>10029.099609375</v>
      </c>
      <c r="D42" s="289">
        <f t="shared" si="0"/>
        <v>-3.2251686810099594E-3</v>
      </c>
      <c r="E42" s="289">
        <f t="shared" si="1"/>
        <v>-3.1831869317081631E-2</v>
      </c>
      <c r="F42" s="14"/>
      <c r="G42" s="14"/>
    </row>
    <row r="43" spans="1:7" ht="14.25" customHeight="1" x14ac:dyDescent="0.3">
      <c r="A43" s="41">
        <v>43987</v>
      </c>
      <c r="B43" s="42">
        <v>955.25</v>
      </c>
      <c r="C43" s="42">
        <v>10142.150390625</v>
      </c>
      <c r="D43" s="289">
        <f t="shared" si="0"/>
        <v>1.1272276241460641E-2</v>
      </c>
      <c r="E43" s="289">
        <f t="shared" si="1"/>
        <v>2.6377981595543287E-2</v>
      </c>
      <c r="F43" s="14"/>
      <c r="G43" s="14"/>
    </row>
    <row r="44" spans="1:7" ht="14.25" customHeight="1" x14ac:dyDescent="0.3">
      <c r="A44" s="41">
        <v>43990</v>
      </c>
      <c r="B44" s="42">
        <v>961.34997558593795</v>
      </c>
      <c r="C44" s="42">
        <v>10167.4501953125</v>
      </c>
      <c r="D44" s="289">
        <f t="shared" si="0"/>
        <v>2.4945207587225419E-3</v>
      </c>
      <c r="E44" s="289">
        <f t="shared" si="1"/>
        <v>6.3857373315236374E-3</v>
      </c>
      <c r="F44" s="14"/>
      <c r="G44" s="14"/>
    </row>
    <row r="45" spans="1:7" ht="14.25" customHeight="1" x14ac:dyDescent="0.3">
      <c r="A45" s="41">
        <v>43991</v>
      </c>
      <c r="B45" s="42">
        <v>953.29998779296898</v>
      </c>
      <c r="C45" s="42">
        <v>10046.650390625</v>
      </c>
      <c r="D45" s="289">
        <f t="shared" si="0"/>
        <v>-1.1881032349997872E-2</v>
      </c>
      <c r="E45" s="289">
        <f t="shared" si="1"/>
        <v>-8.3736287485341124E-3</v>
      </c>
      <c r="F45" s="14"/>
      <c r="G45" s="14"/>
    </row>
    <row r="46" spans="1:7" ht="14.25" customHeight="1" x14ac:dyDescent="0.3">
      <c r="A46" s="41">
        <v>43992</v>
      </c>
      <c r="B46" s="42">
        <v>946.54998779296898</v>
      </c>
      <c r="C46" s="42">
        <v>10116.150390625</v>
      </c>
      <c r="D46" s="289">
        <f t="shared" si="0"/>
        <v>6.9177285262014996E-3</v>
      </c>
      <c r="E46" s="289">
        <f t="shared" si="1"/>
        <v>-7.0806672468623991E-3</v>
      </c>
      <c r="F46" s="14"/>
      <c r="G46" s="14"/>
    </row>
    <row r="47" spans="1:7" ht="14.25" customHeight="1" x14ac:dyDescent="0.3">
      <c r="A47" s="41">
        <v>43993</v>
      </c>
      <c r="B47" s="42">
        <v>930.45001220703102</v>
      </c>
      <c r="C47" s="42">
        <v>9902</v>
      </c>
      <c r="D47" s="289">
        <f t="shared" si="0"/>
        <v>-2.1169158460066079E-2</v>
      </c>
      <c r="E47" s="289">
        <f t="shared" si="1"/>
        <v>-1.7009112876835587E-2</v>
      </c>
      <c r="F47" s="14"/>
      <c r="G47" s="14"/>
    </row>
    <row r="48" spans="1:7" ht="14.25" customHeight="1" x14ac:dyDescent="0.3">
      <c r="A48" s="41">
        <v>43994</v>
      </c>
      <c r="B48" s="42">
        <v>926.40002441406295</v>
      </c>
      <c r="C48" s="42">
        <v>9972.900390625</v>
      </c>
      <c r="D48" s="289">
        <f t="shared" si="0"/>
        <v>7.1602091117955969E-3</v>
      </c>
      <c r="E48" s="289">
        <f t="shared" si="1"/>
        <v>-4.3527193721686142E-3</v>
      </c>
      <c r="F48" s="14"/>
      <c r="G48" s="14"/>
    </row>
    <row r="49" spans="1:7" ht="14.25" customHeight="1" x14ac:dyDescent="0.3">
      <c r="A49" s="41">
        <v>43997</v>
      </c>
      <c r="B49" s="42">
        <v>899.90002441406295</v>
      </c>
      <c r="C49" s="42">
        <v>9813.7001953125</v>
      </c>
      <c r="D49" s="289">
        <f t="shared" si="0"/>
        <v>-1.5963279394844428E-2</v>
      </c>
      <c r="E49" s="289">
        <f t="shared" si="1"/>
        <v>-2.8605353304865182E-2</v>
      </c>
      <c r="F49" s="14"/>
      <c r="G49" s="14"/>
    </row>
    <row r="50" spans="1:7" ht="14.25" customHeight="1" x14ac:dyDescent="0.3">
      <c r="A50" s="41">
        <v>43998</v>
      </c>
      <c r="B50" s="42">
        <v>895.04998779296898</v>
      </c>
      <c r="C50" s="42">
        <v>9914</v>
      </c>
      <c r="D50" s="289">
        <f t="shared" si="0"/>
        <v>1.0220386061458048E-2</v>
      </c>
      <c r="E50" s="289">
        <f t="shared" si="1"/>
        <v>-5.3895282692673577E-3</v>
      </c>
      <c r="F50" s="14"/>
      <c r="G50" s="14"/>
    </row>
    <row r="51" spans="1:7" ht="14.25" customHeight="1" x14ac:dyDescent="0.3">
      <c r="A51" s="41">
        <v>43999</v>
      </c>
      <c r="B51" s="42">
        <v>884.79998779296898</v>
      </c>
      <c r="C51" s="42">
        <v>9881.150390625</v>
      </c>
      <c r="D51" s="289">
        <f t="shared" si="0"/>
        <v>-3.3134566648174301E-3</v>
      </c>
      <c r="E51" s="289">
        <f t="shared" si="1"/>
        <v>-1.1451874353157237E-2</v>
      </c>
      <c r="F51" s="14"/>
      <c r="G51" s="14"/>
    </row>
    <row r="52" spans="1:7" ht="14.25" customHeight="1" x14ac:dyDescent="0.3">
      <c r="A52" s="41">
        <v>44000</v>
      </c>
      <c r="B52" s="42">
        <v>896.65002441406295</v>
      </c>
      <c r="C52" s="42">
        <v>10091.650390625</v>
      </c>
      <c r="D52" s="289">
        <f t="shared" si="0"/>
        <v>2.1303187551898549E-2</v>
      </c>
      <c r="E52" s="289">
        <f t="shared" si="1"/>
        <v>1.3392898716751252E-2</v>
      </c>
      <c r="F52" s="14"/>
      <c r="G52" s="14"/>
    </row>
    <row r="53" spans="1:7" ht="14.25" customHeight="1" x14ac:dyDescent="0.3">
      <c r="A53" s="41">
        <v>44001</v>
      </c>
      <c r="B53" s="42">
        <v>898.20001220703102</v>
      </c>
      <c r="C53" s="42">
        <v>10244.400390625</v>
      </c>
      <c r="D53" s="289">
        <f t="shared" si="0"/>
        <v>1.5136275444292302E-2</v>
      </c>
      <c r="E53" s="289">
        <f t="shared" si="1"/>
        <v>1.7286430053698419E-3</v>
      </c>
      <c r="F53" s="14"/>
      <c r="G53" s="14"/>
    </row>
    <row r="54" spans="1:7" ht="14.25" customHeight="1" x14ac:dyDescent="0.3">
      <c r="A54" s="41">
        <v>44004</v>
      </c>
      <c r="B54" s="42">
        <v>907.45001220703102</v>
      </c>
      <c r="C54" s="42">
        <v>10311.2001953125</v>
      </c>
      <c r="D54" s="289">
        <f t="shared" si="0"/>
        <v>6.5206163504338216E-3</v>
      </c>
      <c r="E54" s="289">
        <f t="shared" si="1"/>
        <v>1.029837438687088E-2</v>
      </c>
      <c r="F54" s="14"/>
      <c r="G54" s="14"/>
    </row>
    <row r="55" spans="1:7" ht="14.25" customHeight="1" x14ac:dyDescent="0.3">
      <c r="A55" s="41">
        <v>44005</v>
      </c>
      <c r="B55" s="42">
        <v>967.59997558593795</v>
      </c>
      <c r="C55" s="42">
        <v>10471</v>
      </c>
      <c r="D55" s="289">
        <f t="shared" si="0"/>
        <v>1.5497691991291706E-2</v>
      </c>
      <c r="E55" s="289">
        <f t="shared" si="1"/>
        <v>6.6284602534320058E-2</v>
      </c>
      <c r="F55" s="14"/>
      <c r="G55" s="14"/>
    </row>
    <row r="56" spans="1:7" ht="14.25" customHeight="1" x14ac:dyDescent="0.3">
      <c r="A56" s="41">
        <v>44006</v>
      </c>
      <c r="B56" s="42">
        <v>955.54998779296898</v>
      </c>
      <c r="C56" s="42">
        <v>10305.2998046875</v>
      </c>
      <c r="D56" s="289">
        <f t="shared" si="0"/>
        <v>-1.5824677233549803E-2</v>
      </c>
      <c r="E56" s="289">
        <f t="shared" si="1"/>
        <v>-1.2453480877438024E-2</v>
      </c>
      <c r="F56" s="14"/>
      <c r="G56" s="14"/>
    </row>
    <row r="57" spans="1:7" ht="14.25" customHeight="1" x14ac:dyDescent="0.3">
      <c r="A57" s="41">
        <v>44007</v>
      </c>
      <c r="B57" s="42">
        <v>943.09997558593795</v>
      </c>
      <c r="C57" s="42">
        <v>10288.900390625</v>
      </c>
      <c r="D57" s="289">
        <f t="shared" si="0"/>
        <v>-1.5913572989929427E-3</v>
      </c>
      <c r="E57" s="289">
        <f t="shared" si="1"/>
        <v>-1.3029158459607938E-2</v>
      </c>
      <c r="F57" s="14"/>
      <c r="G57" s="14"/>
    </row>
    <row r="58" spans="1:7" ht="14.25" customHeight="1" x14ac:dyDescent="0.3">
      <c r="A58" s="41">
        <v>44008</v>
      </c>
      <c r="B58" s="42">
        <v>962.20001220703102</v>
      </c>
      <c r="C58" s="42">
        <v>10383</v>
      </c>
      <c r="D58" s="289">
        <f t="shared" si="0"/>
        <v>9.1457401473865295E-3</v>
      </c>
      <c r="E58" s="289">
        <f t="shared" si="1"/>
        <v>2.0252398595627594E-2</v>
      </c>
      <c r="F58" s="14"/>
      <c r="G58" s="14"/>
    </row>
    <row r="59" spans="1:7" ht="14.25" customHeight="1" x14ac:dyDescent="0.3">
      <c r="A59" s="41">
        <v>44011</v>
      </c>
      <c r="B59" s="42">
        <v>936.59997558593795</v>
      </c>
      <c r="C59" s="42">
        <v>10312.400390625</v>
      </c>
      <c r="D59" s="289">
        <f t="shared" si="0"/>
        <v>-6.7995386087835886E-3</v>
      </c>
      <c r="E59" s="289">
        <f t="shared" si="1"/>
        <v>-2.6605733003862046E-2</v>
      </c>
      <c r="F59" s="14"/>
      <c r="G59" s="14"/>
    </row>
    <row r="60" spans="1:7" ht="14.25" customHeight="1" x14ac:dyDescent="0.3">
      <c r="A60" s="41">
        <v>44012</v>
      </c>
      <c r="B60" s="42">
        <v>943.65002441406295</v>
      </c>
      <c r="C60" s="42">
        <v>10302.099609375</v>
      </c>
      <c r="D60" s="289">
        <f t="shared" si="0"/>
        <v>-9.9887328457149869E-4</v>
      </c>
      <c r="E60" s="289">
        <f t="shared" si="1"/>
        <v>7.5272784666842235E-3</v>
      </c>
      <c r="F60" s="14"/>
      <c r="G60" s="14"/>
    </row>
    <row r="61" spans="1:7" ht="14.25" customHeight="1" x14ac:dyDescent="0.3">
      <c r="A61" s="41">
        <v>44013</v>
      </c>
      <c r="B61" s="42">
        <v>924.29998779296898</v>
      </c>
      <c r="C61" s="42">
        <v>10430.0498046875</v>
      </c>
      <c r="D61" s="289">
        <f t="shared" si="0"/>
        <v>1.2419817334717306E-2</v>
      </c>
      <c r="E61" s="289">
        <f t="shared" si="1"/>
        <v>-2.0505522302199826E-2</v>
      </c>
      <c r="F61" s="14"/>
      <c r="G61" s="14"/>
    </row>
    <row r="62" spans="1:7" ht="14.25" customHeight="1" x14ac:dyDescent="0.3">
      <c r="A62" s="41">
        <v>44014</v>
      </c>
      <c r="B62" s="42">
        <v>941.29998779296898</v>
      </c>
      <c r="C62" s="42">
        <v>10551.7001953125</v>
      </c>
      <c r="D62" s="289">
        <f t="shared" si="0"/>
        <v>1.1663452514898594E-2</v>
      </c>
      <c r="E62" s="289">
        <f t="shared" si="1"/>
        <v>1.8392297116212639E-2</v>
      </c>
      <c r="F62" s="14"/>
      <c r="G62" s="14"/>
    </row>
    <row r="63" spans="1:7" ht="14.25" customHeight="1" x14ac:dyDescent="0.3">
      <c r="A63" s="41">
        <v>44015</v>
      </c>
      <c r="B63" s="42">
        <v>944.25</v>
      </c>
      <c r="C63" s="42">
        <v>10607.349609375</v>
      </c>
      <c r="D63" s="289">
        <f t="shared" si="0"/>
        <v>5.2739760448483703E-3</v>
      </c>
      <c r="E63" s="289">
        <f t="shared" si="1"/>
        <v>3.133976676179298E-3</v>
      </c>
      <c r="F63" s="14"/>
      <c r="G63" s="14"/>
    </row>
    <row r="64" spans="1:7" ht="14.25" customHeight="1" x14ac:dyDescent="0.3">
      <c r="A64" s="41">
        <v>44018</v>
      </c>
      <c r="B64" s="42">
        <v>951.20001220703102</v>
      </c>
      <c r="C64" s="42">
        <v>10763.650390625</v>
      </c>
      <c r="D64" s="289">
        <f t="shared" si="0"/>
        <v>1.4735139974255027E-2</v>
      </c>
      <c r="E64" s="289">
        <f t="shared" si="1"/>
        <v>7.3603518210548294E-3</v>
      </c>
      <c r="F64" s="14"/>
      <c r="G64" s="14"/>
    </row>
    <row r="65" spans="1:7" ht="14.25" customHeight="1" x14ac:dyDescent="0.3">
      <c r="A65" s="41">
        <v>44019</v>
      </c>
      <c r="B65" s="42">
        <v>943.59997558593795</v>
      </c>
      <c r="C65" s="42">
        <v>10799.650390625</v>
      </c>
      <c r="D65" s="289">
        <f t="shared" si="0"/>
        <v>3.3445902359812369E-3</v>
      </c>
      <c r="E65" s="289">
        <f t="shared" si="1"/>
        <v>-7.9899458826319918E-3</v>
      </c>
      <c r="F65" s="14"/>
      <c r="G65" s="14"/>
    </row>
    <row r="66" spans="1:7" ht="14.25" customHeight="1" x14ac:dyDescent="0.3">
      <c r="A66" s="41">
        <v>44020</v>
      </c>
      <c r="B66" s="42">
        <v>941.25</v>
      </c>
      <c r="C66" s="42">
        <v>10705.75</v>
      </c>
      <c r="D66" s="289">
        <f t="shared" si="0"/>
        <v>-8.6947620736420681E-3</v>
      </c>
      <c r="E66" s="289">
        <f t="shared" si="1"/>
        <v>-2.4904362513137133E-3</v>
      </c>
      <c r="F66" s="14"/>
      <c r="G66" s="14"/>
    </row>
    <row r="67" spans="1:7" ht="14.25" customHeight="1" x14ac:dyDescent="0.3">
      <c r="A67" s="41">
        <v>44021</v>
      </c>
      <c r="B67" s="42">
        <v>944.95001220703102</v>
      </c>
      <c r="C67" s="42">
        <v>10813.4501953125</v>
      </c>
      <c r="D67" s="289">
        <f t="shared" ref="D67:D130" si="2">(C67-C66)/C66</f>
        <v>1.0060032721901781E-2</v>
      </c>
      <c r="E67" s="289">
        <f t="shared" ref="E67:E130" si="3">(B67-B66)/B66</f>
        <v>3.9309558640435831E-3</v>
      </c>
      <c r="F67" s="14"/>
      <c r="G67" s="14"/>
    </row>
    <row r="68" spans="1:7" ht="14.25" customHeight="1" x14ac:dyDescent="0.3">
      <c r="A68" s="41">
        <v>44022</v>
      </c>
      <c r="B68" s="42">
        <v>932.15002441406295</v>
      </c>
      <c r="C68" s="42">
        <v>10768.0498046875</v>
      </c>
      <c r="D68" s="289">
        <f t="shared" si="2"/>
        <v>-4.198511095439319E-3</v>
      </c>
      <c r="E68" s="289">
        <f t="shared" si="3"/>
        <v>-1.3545677154998218E-2</v>
      </c>
      <c r="F68" s="14"/>
      <c r="G68" s="14"/>
    </row>
    <row r="69" spans="1:7" ht="14.25" customHeight="1" x14ac:dyDescent="0.3">
      <c r="A69" s="41">
        <v>44025</v>
      </c>
      <c r="B69" s="42">
        <v>928.15002441406295</v>
      </c>
      <c r="C69" s="42">
        <v>10802.7001953125</v>
      </c>
      <c r="D69" s="289">
        <f t="shared" si="2"/>
        <v>3.2178891492418752E-3</v>
      </c>
      <c r="E69" s="289">
        <f t="shared" si="3"/>
        <v>-4.2911547446607065E-3</v>
      </c>
      <c r="F69" s="14"/>
      <c r="G69" s="14"/>
    </row>
    <row r="70" spans="1:7" ht="14.25" customHeight="1" x14ac:dyDescent="0.3">
      <c r="A70" s="41">
        <v>44026</v>
      </c>
      <c r="B70" s="42">
        <v>912.90002441406295</v>
      </c>
      <c r="C70" s="42">
        <v>10607.349609375</v>
      </c>
      <c r="D70" s="289">
        <f t="shared" si="2"/>
        <v>-1.8083496015400519E-2</v>
      </c>
      <c r="E70" s="289">
        <f t="shared" si="3"/>
        <v>-1.6430533425485023E-2</v>
      </c>
      <c r="F70" s="14"/>
      <c r="G70" s="14"/>
    </row>
    <row r="71" spans="1:7" ht="14.25" customHeight="1" x14ac:dyDescent="0.3">
      <c r="A71" s="41">
        <v>44027</v>
      </c>
      <c r="B71" s="42">
        <v>912.20001220703102</v>
      </c>
      <c r="C71" s="42">
        <v>10618.2001953125</v>
      </c>
      <c r="D71" s="289">
        <f t="shared" si="2"/>
        <v>1.0229309240368605E-3</v>
      </c>
      <c r="E71" s="289">
        <f t="shared" si="3"/>
        <v>-7.668005129928975E-4</v>
      </c>
      <c r="F71" s="14"/>
      <c r="G71" s="14"/>
    </row>
    <row r="72" spans="1:7" ht="14.25" customHeight="1" x14ac:dyDescent="0.3">
      <c r="A72" s="41">
        <v>44028</v>
      </c>
      <c r="B72" s="42">
        <v>921.15002441406295</v>
      </c>
      <c r="C72" s="42">
        <v>10739.9501953125</v>
      </c>
      <c r="D72" s="289">
        <f t="shared" si="2"/>
        <v>1.1466161662100478E-2</v>
      </c>
      <c r="E72" s="289">
        <f t="shared" si="3"/>
        <v>9.81145810925582E-3</v>
      </c>
      <c r="F72" s="14"/>
      <c r="G72" s="14"/>
    </row>
    <row r="73" spans="1:7" ht="14.25" customHeight="1" x14ac:dyDescent="0.3">
      <c r="A73" s="41">
        <v>44029</v>
      </c>
      <c r="B73" s="42">
        <v>925.54998779296898</v>
      </c>
      <c r="C73" s="42">
        <v>10901.7001953125</v>
      </c>
      <c r="D73" s="289">
        <f t="shared" si="2"/>
        <v>1.5060591255869745E-2</v>
      </c>
      <c r="E73" s="289">
        <f t="shared" si="3"/>
        <v>4.7765980158387426E-3</v>
      </c>
      <c r="F73" s="14"/>
      <c r="G73" s="14"/>
    </row>
    <row r="74" spans="1:7" ht="14.25" customHeight="1" x14ac:dyDescent="0.3">
      <c r="A74" s="41">
        <v>44032</v>
      </c>
      <c r="B74" s="42">
        <v>919.59997558593795</v>
      </c>
      <c r="C74" s="42">
        <v>11022.2001953125</v>
      </c>
      <c r="D74" s="289">
        <f t="shared" si="2"/>
        <v>1.1053321760931606E-2</v>
      </c>
      <c r="E74" s="289">
        <f t="shared" si="3"/>
        <v>-6.4286232894013575E-3</v>
      </c>
      <c r="F74" s="14"/>
      <c r="G74" s="14"/>
    </row>
    <row r="75" spans="1:7" ht="14.25" customHeight="1" x14ac:dyDescent="0.3">
      <c r="A75" s="41">
        <v>44033</v>
      </c>
      <c r="B75" s="42">
        <v>938.04998779296898</v>
      </c>
      <c r="C75" s="42">
        <v>11162.25</v>
      </c>
      <c r="D75" s="289">
        <f t="shared" si="2"/>
        <v>1.2706156865764434E-2</v>
      </c>
      <c r="E75" s="289">
        <f t="shared" si="3"/>
        <v>2.0063084707321027E-2</v>
      </c>
      <c r="F75" s="14"/>
      <c r="G75" s="14"/>
    </row>
    <row r="76" spans="1:7" ht="14.25" customHeight="1" x14ac:dyDescent="0.3">
      <c r="A76" s="41">
        <v>44034</v>
      </c>
      <c r="B76" s="42">
        <v>920.90002441406295</v>
      </c>
      <c r="C76" s="42">
        <v>11132.599609375</v>
      </c>
      <c r="D76" s="289">
        <f t="shared" si="2"/>
        <v>-2.6563094918139263E-3</v>
      </c>
      <c r="E76" s="289">
        <f t="shared" si="3"/>
        <v>-1.8282568735229366E-2</v>
      </c>
      <c r="F76" s="14"/>
      <c r="G76" s="14"/>
    </row>
    <row r="77" spans="1:7" ht="14.25" customHeight="1" x14ac:dyDescent="0.3">
      <c r="A77" s="41">
        <v>44035</v>
      </c>
      <c r="B77" s="42">
        <v>916.54998779296898</v>
      </c>
      <c r="C77" s="42">
        <v>11215.4501953125</v>
      </c>
      <c r="D77" s="289">
        <f t="shared" si="2"/>
        <v>7.4421598588464239E-3</v>
      </c>
      <c r="E77" s="289">
        <f t="shared" si="3"/>
        <v>-4.7236795588769323E-3</v>
      </c>
      <c r="F77" s="14"/>
      <c r="G77" s="14"/>
    </row>
    <row r="78" spans="1:7" ht="14.25" customHeight="1" x14ac:dyDescent="0.3">
      <c r="A78" s="41">
        <v>44036</v>
      </c>
      <c r="B78" s="42">
        <v>904.40002441406295</v>
      </c>
      <c r="C78" s="42">
        <v>11194.150390625</v>
      </c>
      <c r="D78" s="289">
        <f t="shared" si="2"/>
        <v>-1.8991484351116158E-3</v>
      </c>
      <c r="E78" s="289">
        <f t="shared" si="3"/>
        <v>-1.3256192832605727E-2</v>
      </c>
      <c r="F78" s="14"/>
      <c r="G78" s="14"/>
    </row>
    <row r="79" spans="1:7" ht="14.25" customHeight="1" x14ac:dyDescent="0.3">
      <c r="A79" s="41">
        <v>44039</v>
      </c>
      <c r="B79" s="42">
        <v>903.79998779296898</v>
      </c>
      <c r="C79" s="42">
        <v>11131.7998046875</v>
      </c>
      <c r="D79" s="289">
        <f t="shared" si="2"/>
        <v>-5.5699256988469672E-3</v>
      </c>
      <c r="E79" s="289">
        <f t="shared" si="3"/>
        <v>-6.6346373827524539E-4</v>
      </c>
      <c r="F79" s="14"/>
      <c r="G79" s="14"/>
    </row>
    <row r="80" spans="1:7" ht="14.25" customHeight="1" x14ac:dyDescent="0.3">
      <c r="A80" s="41">
        <v>44040</v>
      </c>
      <c r="B80" s="42">
        <v>913.5</v>
      </c>
      <c r="C80" s="42">
        <v>11300.5498046875</v>
      </c>
      <c r="D80" s="289">
        <f t="shared" si="2"/>
        <v>1.515927369884436E-2</v>
      </c>
      <c r="E80" s="289">
        <f t="shared" si="3"/>
        <v>1.0732476585575013E-2</v>
      </c>
      <c r="F80" s="14"/>
      <c r="G80" s="14"/>
    </row>
    <row r="81" spans="1:7" ht="14.25" customHeight="1" x14ac:dyDescent="0.3">
      <c r="A81" s="41">
        <v>44041</v>
      </c>
      <c r="B81" s="42">
        <v>921.95001220703102</v>
      </c>
      <c r="C81" s="42">
        <v>11202.849609375</v>
      </c>
      <c r="D81" s="289">
        <f t="shared" si="2"/>
        <v>-8.6456143286031701E-3</v>
      </c>
      <c r="E81" s="289">
        <f t="shared" si="3"/>
        <v>9.2501501992676774E-3</v>
      </c>
      <c r="F81" s="14"/>
      <c r="G81" s="14"/>
    </row>
    <row r="82" spans="1:7" ht="14.25" customHeight="1" x14ac:dyDescent="0.3">
      <c r="A82" s="41">
        <v>44042</v>
      </c>
      <c r="B82" s="42">
        <v>908.25</v>
      </c>
      <c r="C82" s="42">
        <v>11102.150390625</v>
      </c>
      <c r="D82" s="289">
        <f t="shared" si="2"/>
        <v>-8.988714680747906E-3</v>
      </c>
      <c r="E82" s="289">
        <f t="shared" si="3"/>
        <v>-1.4859821059316368E-2</v>
      </c>
      <c r="F82" s="14"/>
      <c r="G82" s="14"/>
    </row>
    <row r="83" spans="1:7" ht="14.25" customHeight="1" x14ac:dyDescent="0.3">
      <c r="A83" s="41">
        <v>44043</v>
      </c>
      <c r="B83" s="42">
        <v>913.45001220703102</v>
      </c>
      <c r="C83" s="42">
        <v>11073.4501953125</v>
      </c>
      <c r="D83" s="289">
        <f t="shared" si="2"/>
        <v>-2.5851023723057593E-3</v>
      </c>
      <c r="E83" s="289">
        <f t="shared" si="3"/>
        <v>5.7253093388725824E-3</v>
      </c>
      <c r="F83" s="14"/>
      <c r="G83" s="14"/>
    </row>
    <row r="84" spans="1:7" ht="14.25" customHeight="1" x14ac:dyDescent="0.3">
      <c r="A84" s="41">
        <v>44046</v>
      </c>
      <c r="B84" s="42">
        <v>915.90002441406295</v>
      </c>
      <c r="C84" s="42">
        <v>10891.599609375</v>
      </c>
      <c r="D84" s="289">
        <f t="shared" si="2"/>
        <v>-1.6422215545294015E-2</v>
      </c>
      <c r="E84" s="289">
        <f t="shared" si="3"/>
        <v>2.6821524706232567E-3</v>
      </c>
      <c r="F84" s="14"/>
      <c r="G84" s="14"/>
    </row>
    <row r="85" spans="1:7" ht="14.25" customHeight="1" x14ac:dyDescent="0.3">
      <c r="A85" s="41">
        <v>44047</v>
      </c>
      <c r="B85" s="42">
        <v>924.25</v>
      </c>
      <c r="C85" s="42">
        <v>11095.25</v>
      </c>
      <c r="D85" s="289">
        <f t="shared" si="2"/>
        <v>1.8697932161379389E-2</v>
      </c>
      <c r="E85" s="289">
        <f t="shared" si="3"/>
        <v>9.116688899838004E-3</v>
      </c>
      <c r="F85" s="14"/>
      <c r="G85" s="14"/>
    </row>
    <row r="86" spans="1:7" ht="14.25" customHeight="1" x14ac:dyDescent="0.3">
      <c r="A86" s="41">
        <v>44048</v>
      </c>
      <c r="B86" s="42">
        <v>925.75</v>
      </c>
      <c r="C86" s="42">
        <v>11101.650390625</v>
      </c>
      <c r="D86" s="289">
        <f t="shared" si="2"/>
        <v>5.7685862193280904E-4</v>
      </c>
      <c r="E86" s="289">
        <f t="shared" si="3"/>
        <v>1.6229375169055991E-3</v>
      </c>
      <c r="F86" s="14"/>
      <c r="G86" s="14"/>
    </row>
    <row r="87" spans="1:7" ht="14.25" customHeight="1" x14ac:dyDescent="0.3">
      <c r="A87" s="41">
        <v>44049</v>
      </c>
      <c r="B87" s="42">
        <v>922.15002441406295</v>
      </c>
      <c r="C87" s="42">
        <v>11200.150390625</v>
      </c>
      <c r="D87" s="289">
        <f t="shared" si="2"/>
        <v>8.872554668374371E-3</v>
      </c>
      <c r="E87" s="289">
        <f t="shared" si="3"/>
        <v>-3.8887124881847638E-3</v>
      </c>
      <c r="F87" s="14"/>
      <c r="G87" s="14"/>
    </row>
    <row r="88" spans="1:7" ht="14.25" customHeight="1" x14ac:dyDescent="0.3">
      <c r="A88" s="41">
        <v>44050</v>
      </c>
      <c r="B88" s="42">
        <v>915.65002441406295</v>
      </c>
      <c r="C88" s="42">
        <v>11214.0498046875</v>
      </c>
      <c r="D88" s="289">
        <f t="shared" si="2"/>
        <v>1.2410024488719721E-3</v>
      </c>
      <c r="E88" s="289">
        <f t="shared" si="3"/>
        <v>-7.0487445946012103E-3</v>
      </c>
      <c r="F88" s="14"/>
      <c r="G88" s="14"/>
    </row>
    <row r="89" spans="1:7" ht="14.25" customHeight="1" x14ac:dyDescent="0.3">
      <c r="A89" s="41">
        <v>44053</v>
      </c>
      <c r="B89" s="42">
        <v>960.04998779296898</v>
      </c>
      <c r="C89" s="42">
        <v>11270.150390625</v>
      </c>
      <c r="D89" s="289">
        <f t="shared" si="2"/>
        <v>5.0027052594371233E-3</v>
      </c>
      <c r="E89" s="289">
        <f t="shared" si="3"/>
        <v>4.8490102326288004E-2</v>
      </c>
      <c r="F89" s="14"/>
      <c r="G89" s="14"/>
    </row>
    <row r="90" spans="1:7" ht="14.25" customHeight="1" x14ac:dyDescent="0.3">
      <c r="A90" s="41">
        <v>44054</v>
      </c>
      <c r="B90" s="42">
        <v>961.90002441406295</v>
      </c>
      <c r="C90" s="42">
        <v>11322.5</v>
      </c>
      <c r="D90" s="289">
        <f t="shared" si="2"/>
        <v>4.6449787767292505E-3</v>
      </c>
      <c r="E90" s="289">
        <f t="shared" si="3"/>
        <v>1.9270211391252375E-3</v>
      </c>
      <c r="F90" s="14"/>
      <c r="G90" s="14"/>
    </row>
    <row r="91" spans="1:7" ht="14.25" customHeight="1" x14ac:dyDescent="0.3">
      <c r="A91" s="41">
        <v>44055</v>
      </c>
      <c r="B91" s="42">
        <v>949.75</v>
      </c>
      <c r="C91" s="42">
        <v>11308.400390625</v>
      </c>
      <c r="D91" s="289">
        <f t="shared" si="2"/>
        <v>-1.2452735151247515E-3</v>
      </c>
      <c r="E91" s="289">
        <f t="shared" si="3"/>
        <v>-1.2631275710242432E-2</v>
      </c>
      <c r="F91" s="14"/>
      <c r="G91" s="14"/>
    </row>
    <row r="92" spans="1:7" ht="14.25" customHeight="1" x14ac:dyDescent="0.3">
      <c r="A92" s="41">
        <v>44056</v>
      </c>
      <c r="B92" s="42">
        <v>990.70001220703102</v>
      </c>
      <c r="C92" s="42">
        <v>11300.4501953125</v>
      </c>
      <c r="D92" s="289">
        <f t="shared" si="2"/>
        <v>-7.0303447330101151E-4</v>
      </c>
      <c r="E92" s="289">
        <f t="shared" si="3"/>
        <v>4.3116622487002917E-2</v>
      </c>
      <c r="F92" s="14"/>
      <c r="G92" s="14"/>
    </row>
    <row r="93" spans="1:7" ht="14.25" customHeight="1" x14ac:dyDescent="0.3">
      <c r="A93" s="41">
        <v>44057</v>
      </c>
      <c r="B93" s="42">
        <v>982.79998779296898</v>
      </c>
      <c r="C93" s="42">
        <v>11178.400390625</v>
      </c>
      <c r="D93" s="289">
        <f t="shared" si="2"/>
        <v>-1.0800437378868946E-2</v>
      </c>
      <c r="E93" s="289">
        <f t="shared" si="3"/>
        <v>-7.9741842300604937E-3</v>
      </c>
      <c r="F93" s="14"/>
      <c r="G93" s="14"/>
    </row>
    <row r="94" spans="1:7" ht="14.25" customHeight="1" x14ac:dyDescent="0.3">
      <c r="A94" s="41">
        <v>44060</v>
      </c>
      <c r="B94" s="42">
        <v>1000.79998779297</v>
      </c>
      <c r="C94" s="42">
        <v>11247.099609375</v>
      </c>
      <c r="D94" s="289">
        <f t="shared" si="2"/>
        <v>6.1457110453492112E-3</v>
      </c>
      <c r="E94" s="289">
        <f t="shared" si="3"/>
        <v>1.8315018542504093E-2</v>
      </c>
      <c r="F94" s="14"/>
      <c r="G94" s="14"/>
    </row>
    <row r="95" spans="1:7" ht="14.25" customHeight="1" x14ac:dyDescent="0.3">
      <c r="A95" s="41">
        <v>44061</v>
      </c>
      <c r="B95" s="42">
        <v>1004.54998779297</v>
      </c>
      <c r="C95" s="42">
        <v>11385.349609375</v>
      </c>
      <c r="D95" s="289">
        <f t="shared" si="2"/>
        <v>1.2292057935075276E-2</v>
      </c>
      <c r="E95" s="289">
        <f t="shared" si="3"/>
        <v>3.7470024437847435E-3</v>
      </c>
      <c r="F95" s="14"/>
      <c r="G95" s="14"/>
    </row>
    <row r="96" spans="1:7" ht="14.25" customHeight="1" x14ac:dyDescent="0.3">
      <c r="A96" s="41">
        <v>44062</v>
      </c>
      <c r="B96" s="42">
        <v>1009.09997558594</v>
      </c>
      <c r="C96" s="42">
        <v>11408.400390625</v>
      </c>
      <c r="D96" s="289">
        <f t="shared" si="2"/>
        <v>2.0246002135076617E-3</v>
      </c>
      <c r="E96" s="289">
        <f t="shared" si="3"/>
        <v>4.5293791730230135E-3</v>
      </c>
      <c r="F96" s="14"/>
      <c r="G96" s="14"/>
    </row>
    <row r="97" spans="1:7" ht="14.25" customHeight="1" x14ac:dyDescent="0.3">
      <c r="A97" s="41">
        <v>44063</v>
      </c>
      <c r="B97" s="42">
        <v>995.75</v>
      </c>
      <c r="C97" s="42">
        <v>11312.2001953125</v>
      </c>
      <c r="D97" s="289">
        <f t="shared" si="2"/>
        <v>-8.432399987605076E-3</v>
      </c>
      <c r="E97" s="289">
        <f t="shared" si="3"/>
        <v>-1.3229586670228841E-2</v>
      </c>
      <c r="F97" s="14"/>
      <c r="G97" s="14"/>
    </row>
    <row r="98" spans="1:7" ht="14.25" customHeight="1" x14ac:dyDescent="0.3">
      <c r="A98" s="41">
        <v>44064</v>
      </c>
      <c r="B98" s="42">
        <v>994.15002441406295</v>
      </c>
      <c r="C98" s="42">
        <v>11371.599609375</v>
      </c>
      <c r="D98" s="289">
        <f t="shared" si="2"/>
        <v>5.2509160938571144E-3</v>
      </c>
      <c r="E98" s="289">
        <f t="shared" si="3"/>
        <v>-1.6068045050836508E-3</v>
      </c>
      <c r="F98" s="14"/>
      <c r="G98" s="14"/>
    </row>
    <row r="99" spans="1:7" ht="14.25" customHeight="1" x14ac:dyDescent="0.3">
      <c r="A99" s="41">
        <v>44067</v>
      </c>
      <c r="B99" s="42">
        <v>991.34997558593795</v>
      </c>
      <c r="C99" s="42">
        <v>11466.4501953125</v>
      </c>
      <c r="D99" s="289">
        <f t="shared" si="2"/>
        <v>8.341006471886599E-3</v>
      </c>
      <c r="E99" s="289">
        <f t="shared" si="3"/>
        <v>-2.8165254331460753E-3</v>
      </c>
      <c r="F99" s="14"/>
      <c r="G99" s="14"/>
    </row>
    <row r="100" spans="1:7" ht="14.25" customHeight="1" x14ac:dyDescent="0.3">
      <c r="A100" s="41">
        <v>44068</v>
      </c>
      <c r="B100" s="42">
        <v>980.40002441406295</v>
      </c>
      <c r="C100" s="42">
        <v>11472.25</v>
      </c>
      <c r="D100" s="289">
        <f t="shared" si="2"/>
        <v>5.0580646919575584E-4</v>
      </c>
      <c r="E100" s="289">
        <f t="shared" si="3"/>
        <v>-1.1045494973057346E-2</v>
      </c>
      <c r="F100" s="14"/>
      <c r="G100" s="14"/>
    </row>
    <row r="101" spans="1:7" ht="14.25" customHeight="1" x14ac:dyDescent="0.3">
      <c r="A101" s="41">
        <v>44069</v>
      </c>
      <c r="B101" s="42">
        <v>968.95001220703102</v>
      </c>
      <c r="C101" s="42">
        <v>11549.599609375</v>
      </c>
      <c r="D101" s="289">
        <f t="shared" si="2"/>
        <v>6.7423225064830354E-3</v>
      </c>
      <c r="E101" s="289">
        <f t="shared" si="3"/>
        <v>-1.1678918728990285E-2</v>
      </c>
      <c r="F101" s="14"/>
      <c r="G101" s="14"/>
    </row>
    <row r="102" spans="1:7" ht="14.25" customHeight="1" x14ac:dyDescent="0.3">
      <c r="A102" s="41">
        <v>44070</v>
      </c>
      <c r="B102" s="42">
        <v>975.59997558593795</v>
      </c>
      <c r="C102" s="42">
        <v>11559.25</v>
      </c>
      <c r="D102" s="289">
        <f t="shared" si="2"/>
        <v>8.3556062126747827E-4</v>
      </c>
      <c r="E102" s="289">
        <f t="shared" si="3"/>
        <v>6.8630613500483299E-3</v>
      </c>
      <c r="F102" s="14"/>
      <c r="G102" s="14"/>
    </row>
    <row r="103" spans="1:7" ht="14.25" customHeight="1" x14ac:dyDescent="0.3">
      <c r="A103" s="41">
        <v>44071</v>
      </c>
      <c r="B103" s="42">
        <v>981.84997558593795</v>
      </c>
      <c r="C103" s="42">
        <v>11647.599609375</v>
      </c>
      <c r="D103" s="289">
        <f t="shared" si="2"/>
        <v>7.6431956549949179E-3</v>
      </c>
      <c r="E103" s="289">
        <f t="shared" si="3"/>
        <v>6.4063142234564909E-3</v>
      </c>
      <c r="F103" s="14"/>
      <c r="G103" s="14"/>
    </row>
    <row r="104" spans="1:7" ht="14.25" customHeight="1" x14ac:dyDescent="0.3">
      <c r="A104" s="41">
        <v>44074</v>
      </c>
      <c r="B104" s="42">
        <v>944.95001220703102</v>
      </c>
      <c r="C104" s="42">
        <v>11387.5</v>
      </c>
      <c r="D104" s="289">
        <f t="shared" si="2"/>
        <v>-2.2330747801946185E-2</v>
      </c>
      <c r="E104" s="289">
        <f t="shared" si="3"/>
        <v>-3.758207903084803E-2</v>
      </c>
      <c r="F104" s="14"/>
      <c r="G104" s="14"/>
    </row>
    <row r="105" spans="1:7" ht="14.25" customHeight="1" x14ac:dyDescent="0.3">
      <c r="A105" s="41">
        <v>44075</v>
      </c>
      <c r="B105" s="42">
        <v>955.20001220703102</v>
      </c>
      <c r="C105" s="42">
        <v>11470.25</v>
      </c>
      <c r="D105" s="289">
        <f t="shared" si="2"/>
        <v>7.2667398463227223E-3</v>
      </c>
      <c r="E105" s="289">
        <f t="shared" si="3"/>
        <v>1.0847134628910198E-2</v>
      </c>
      <c r="F105" s="14"/>
      <c r="G105" s="14"/>
    </row>
    <row r="106" spans="1:7" ht="14.25" customHeight="1" x14ac:dyDescent="0.3">
      <c r="A106" s="41">
        <v>44076</v>
      </c>
      <c r="B106" s="42">
        <v>955.54998779296898</v>
      </c>
      <c r="C106" s="42">
        <v>11535</v>
      </c>
      <c r="D106" s="289">
        <f t="shared" si="2"/>
        <v>5.6450382511279177E-3</v>
      </c>
      <c r="E106" s="289">
        <f t="shared" si="3"/>
        <v>3.6638984659277901E-4</v>
      </c>
      <c r="F106" s="14"/>
      <c r="G106" s="14"/>
    </row>
    <row r="107" spans="1:7" ht="14.25" customHeight="1" x14ac:dyDescent="0.3">
      <c r="A107" s="41">
        <v>44077</v>
      </c>
      <c r="B107" s="42">
        <v>961.15002441406295</v>
      </c>
      <c r="C107" s="42">
        <v>11527.4501953125</v>
      </c>
      <c r="D107" s="289">
        <f t="shared" si="2"/>
        <v>-6.5451276007802341E-4</v>
      </c>
      <c r="E107" s="289">
        <f t="shared" si="3"/>
        <v>5.8605375884398948E-3</v>
      </c>
      <c r="F107" s="14"/>
      <c r="G107" s="14"/>
    </row>
    <row r="108" spans="1:7" ht="14.25" customHeight="1" x14ac:dyDescent="0.3">
      <c r="A108" s="41">
        <v>44078</v>
      </c>
      <c r="B108" s="42">
        <v>942.5</v>
      </c>
      <c r="C108" s="42">
        <v>11333.849609375</v>
      </c>
      <c r="D108" s="289">
        <f t="shared" si="2"/>
        <v>-1.6794744948559863E-2</v>
      </c>
      <c r="E108" s="289">
        <f t="shared" si="3"/>
        <v>-1.9403864059029077E-2</v>
      </c>
      <c r="F108" s="14"/>
      <c r="G108" s="14"/>
    </row>
    <row r="109" spans="1:7" ht="14.25" customHeight="1" x14ac:dyDescent="0.3">
      <c r="A109" s="41">
        <v>44081</v>
      </c>
      <c r="B109" s="42">
        <v>932.15002441406295</v>
      </c>
      <c r="C109" s="42">
        <v>11355.0498046875</v>
      </c>
      <c r="D109" s="289">
        <f t="shared" si="2"/>
        <v>1.870520259503344E-3</v>
      </c>
      <c r="E109" s="289">
        <f t="shared" si="3"/>
        <v>-1.0981406457227635E-2</v>
      </c>
      <c r="F109" s="14"/>
      <c r="G109" s="14"/>
    </row>
    <row r="110" spans="1:7" ht="14.25" customHeight="1" x14ac:dyDescent="0.3">
      <c r="A110" s="41">
        <v>44082</v>
      </c>
      <c r="B110" s="42">
        <v>916.70001220703102</v>
      </c>
      <c r="C110" s="42">
        <v>11317.349609375</v>
      </c>
      <c r="D110" s="289">
        <f t="shared" si="2"/>
        <v>-3.3201259317186711E-3</v>
      </c>
      <c r="E110" s="289">
        <f t="shared" si="3"/>
        <v>-1.657459829681773E-2</v>
      </c>
      <c r="F110" s="14"/>
      <c r="G110" s="14"/>
    </row>
    <row r="111" spans="1:7" ht="14.25" customHeight="1" x14ac:dyDescent="0.3">
      <c r="A111" s="41">
        <v>44083</v>
      </c>
      <c r="B111" s="42">
        <v>909.5</v>
      </c>
      <c r="C111" s="42">
        <v>11278</v>
      </c>
      <c r="D111" s="289">
        <f t="shared" si="2"/>
        <v>-3.4769279675166877E-3</v>
      </c>
      <c r="E111" s="289">
        <f t="shared" si="3"/>
        <v>-7.8542730567837549E-3</v>
      </c>
      <c r="F111" s="14"/>
      <c r="G111" s="14"/>
    </row>
    <row r="112" spans="1:7" ht="14.25" customHeight="1" x14ac:dyDescent="0.3">
      <c r="A112" s="41">
        <v>44084</v>
      </c>
      <c r="B112" s="42">
        <v>920.95001220703102</v>
      </c>
      <c r="C112" s="42">
        <v>11449.25</v>
      </c>
      <c r="D112" s="289">
        <f t="shared" si="2"/>
        <v>1.5184429863450966E-2</v>
      </c>
      <c r="E112" s="289">
        <f t="shared" si="3"/>
        <v>1.258934822103466E-2</v>
      </c>
      <c r="F112" s="14"/>
      <c r="G112" s="14"/>
    </row>
    <row r="113" spans="1:7" ht="14.25" customHeight="1" x14ac:dyDescent="0.3">
      <c r="A113" s="41">
        <v>44085</v>
      </c>
      <c r="B113" s="42">
        <v>917.40002441406295</v>
      </c>
      <c r="C113" s="42">
        <v>11464.4501953125</v>
      </c>
      <c r="D113" s="289">
        <f t="shared" si="2"/>
        <v>1.3276149365678974E-3</v>
      </c>
      <c r="E113" s="289">
        <f t="shared" si="3"/>
        <v>-3.8547019337788172E-3</v>
      </c>
      <c r="F113" s="14"/>
      <c r="G113" s="14"/>
    </row>
    <row r="114" spans="1:7" ht="14.25" customHeight="1" x14ac:dyDescent="0.3">
      <c r="A114" s="41">
        <v>44088</v>
      </c>
      <c r="B114" s="42">
        <v>902.09997558593795</v>
      </c>
      <c r="C114" s="42">
        <v>11440.0498046875</v>
      </c>
      <c r="D114" s="289">
        <f t="shared" si="2"/>
        <v>-2.1283524468514552E-3</v>
      </c>
      <c r="E114" s="289">
        <f t="shared" si="3"/>
        <v>-1.6677619817916437E-2</v>
      </c>
      <c r="F114" s="14"/>
      <c r="G114" s="14"/>
    </row>
    <row r="115" spans="1:7" ht="14.25" customHeight="1" x14ac:dyDescent="0.3">
      <c r="A115" s="41">
        <v>44089</v>
      </c>
      <c r="B115" s="42">
        <v>909.95001220703102</v>
      </c>
      <c r="C115" s="42">
        <v>11521.7998046875</v>
      </c>
      <c r="D115" s="289">
        <f t="shared" si="2"/>
        <v>7.1459479106903336E-3</v>
      </c>
      <c r="E115" s="289">
        <f t="shared" si="3"/>
        <v>8.7019585783651744E-3</v>
      </c>
      <c r="F115" s="14"/>
      <c r="G115" s="14"/>
    </row>
    <row r="116" spans="1:7" ht="14.25" customHeight="1" x14ac:dyDescent="0.3">
      <c r="A116" s="41">
        <v>44090</v>
      </c>
      <c r="B116" s="42">
        <v>921.79998779296898</v>
      </c>
      <c r="C116" s="42">
        <v>11604.5498046875</v>
      </c>
      <c r="D116" s="289">
        <f t="shared" si="2"/>
        <v>7.1820376506050903E-3</v>
      </c>
      <c r="E116" s="289">
        <f t="shared" si="3"/>
        <v>1.3022666549777307E-2</v>
      </c>
      <c r="F116" s="14"/>
      <c r="G116" s="14"/>
    </row>
    <row r="117" spans="1:7" ht="14.25" customHeight="1" x14ac:dyDescent="0.3">
      <c r="A117" s="41">
        <v>44091</v>
      </c>
      <c r="B117" s="42">
        <v>906.29998779296898</v>
      </c>
      <c r="C117" s="42">
        <v>11516.099609375</v>
      </c>
      <c r="D117" s="289">
        <f t="shared" si="2"/>
        <v>-7.6220272911209138E-3</v>
      </c>
      <c r="E117" s="289">
        <f t="shared" si="3"/>
        <v>-1.6814927538794034E-2</v>
      </c>
      <c r="F117" s="14"/>
      <c r="G117" s="14"/>
    </row>
    <row r="118" spans="1:7" ht="14.25" customHeight="1" x14ac:dyDescent="0.3">
      <c r="A118" s="41">
        <v>44092</v>
      </c>
      <c r="B118" s="42">
        <v>900.70001220703102</v>
      </c>
      <c r="C118" s="42">
        <v>11504.9501953125</v>
      </c>
      <c r="D118" s="289">
        <f t="shared" si="2"/>
        <v>-9.6815887676271147E-4</v>
      </c>
      <c r="E118" s="289">
        <f t="shared" si="3"/>
        <v>-6.1789425812253098E-3</v>
      </c>
      <c r="F118" s="14"/>
      <c r="G118" s="14"/>
    </row>
    <row r="119" spans="1:7" ht="14.25" customHeight="1" x14ac:dyDescent="0.3">
      <c r="A119" s="41">
        <v>44095</v>
      </c>
      <c r="B119" s="42">
        <v>881.84997558593795</v>
      </c>
      <c r="C119" s="42">
        <v>11250.5498046875</v>
      </c>
      <c r="D119" s="289">
        <f t="shared" si="2"/>
        <v>-2.2112254838673809E-2</v>
      </c>
      <c r="E119" s="289">
        <f t="shared" si="3"/>
        <v>-2.0928207356080593E-2</v>
      </c>
      <c r="F119" s="14"/>
      <c r="G119" s="14"/>
    </row>
    <row r="120" spans="1:7" ht="14.25" customHeight="1" x14ac:dyDescent="0.3">
      <c r="A120" s="41">
        <v>44096</v>
      </c>
      <c r="B120" s="42">
        <v>856.5</v>
      </c>
      <c r="C120" s="42">
        <v>11153.650390625</v>
      </c>
      <c r="D120" s="289">
        <f t="shared" si="2"/>
        <v>-8.6128603263573144E-3</v>
      </c>
      <c r="E120" s="289">
        <f t="shared" si="3"/>
        <v>-2.874635855049423E-2</v>
      </c>
      <c r="F120" s="14"/>
      <c r="G120" s="14"/>
    </row>
    <row r="121" spans="1:7" ht="14.25" customHeight="1" x14ac:dyDescent="0.3">
      <c r="A121" s="41">
        <v>44097</v>
      </c>
      <c r="B121" s="42">
        <v>860.59997558593795</v>
      </c>
      <c r="C121" s="42">
        <v>11131.849609375</v>
      </c>
      <c r="D121" s="289">
        <f t="shared" si="2"/>
        <v>-1.9545871070447262E-3</v>
      </c>
      <c r="E121" s="289">
        <f t="shared" si="3"/>
        <v>4.7868950215270928E-3</v>
      </c>
      <c r="F121" s="14"/>
      <c r="G121" s="14"/>
    </row>
    <row r="122" spans="1:7" ht="14.25" customHeight="1" x14ac:dyDescent="0.3">
      <c r="A122" s="41">
        <v>44098</v>
      </c>
      <c r="B122" s="42">
        <v>850.70001220703102</v>
      </c>
      <c r="C122" s="42">
        <v>10805.5498046875</v>
      </c>
      <c r="D122" s="289">
        <f t="shared" si="2"/>
        <v>-2.9312272096516417E-2</v>
      </c>
      <c r="E122" s="289">
        <f t="shared" si="3"/>
        <v>-1.1503559911405482E-2</v>
      </c>
      <c r="F122" s="14"/>
      <c r="G122" s="14"/>
    </row>
    <row r="123" spans="1:7" ht="14.25" customHeight="1" x14ac:dyDescent="0.3">
      <c r="A123" s="41">
        <v>44099</v>
      </c>
      <c r="B123" s="42">
        <v>889.25</v>
      </c>
      <c r="C123" s="42">
        <v>11050.25</v>
      </c>
      <c r="D123" s="289">
        <f t="shared" si="2"/>
        <v>2.264578848235449E-2</v>
      </c>
      <c r="E123" s="289">
        <f t="shared" si="3"/>
        <v>4.5315607428940814E-2</v>
      </c>
      <c r="F123" s="14"/>
      <c r="G123" s="14"/>
    </row>
    <row r="124" spans="1:7" ht="14.25" customHeight="1" x14ac:dyDescent="0.3">
      <c r="A124" s="41">
        <v>44102</v>
      </c>
      <c r="B124" s="42">
        <v>902.84997558593795</v>
      </c>
      <c r="C124" s="42">
        <v>11227.5498046875</v>
      </c>
      <c r="D124" s="289">
        <f t="shared" si="2"/>
        <v>1.6044868187371327E-2</v>
      </c>
      <c r="E124" s="289">
        <f t="shared" si="3"/>
        <v>1.5293759444405908E-2</v>
      </c>
      <c r="F124" s="14"/>
      <c r="G124" s="14"/>
    </row>
    <row r="125" spans="1:7" ht="14.25" customHeight="1" x14ac:dyDescent="0.3">
      <c r="A125" s="41">
        <v>44103</v>
      </c>
      <c r="B125" s="42">
        <v>895.45001220703102</v>
      </c>
      <c r="C125" s="42">
        <v>11222.400390625</v>
      </c>
      <c r="D125" s="289">
        <f t="shared" si="2"/>
        <v>-4.5864094589454597E-4</v>
      </c>
      <c r="E125" s="289">
        <f t="shared" si="3"/>
        <v>-8.1962270355099166E-3</v>
      </c>
      <c r="F125" s="14"/>
      <c r="G125" s="14"/>
    </row>
    <row r="126" spans="1:7" ht="14.25" customHeight="1" x14ac:dyDescent="0.3">
      <c r="A126" s="41">
        <v>44104</v>
      </c>
      <c r="B126" s="42">
        <v>901.59997558593795</v>
      </c>
      <c r="C126" s="42">
        <v>11247.5498046875</v>
      </c>
      <c r="D126" s="289">
        <f t="shared" si="2"/>
        <v>2.2410013176422921E-3</v>
      </c>
      <c r="E126" s="289">
        <f t="shared" si="3"/>
        <v>6.8680141773062369E-3</v>
      </c>
      <c r="F126" s="14"/>
      <c r="G126" s="14"/>
    </row>
    <row r="127" spans="1:7" ht="14.25" customHeight="1" x14ac:dyDescent="0.3">
      <c r="A127" s="41">
        <v>44105</v>
      </c>
      <c r="B127" s="42">
        <v>902.79998779296898</v>
      </c>
      <c r="C127" s="42">
        <v>11416.9501953125</v>
      </c>
      <c r="D127" s="289">
        <f t="shared" si="2"/>
        <v>1.5061092732783554E-2</v>
      </c>
      <c r="E127" s="289">
        <f t="shared" si="3"/>
        <v>1.330980744815516E-3</v>
      </c>
      <c r="F127" s="14"/>
      <c r="G127" s="14"/>
    </row>
    <row r="128" spans="1:7" ht="14.25" customHeight="1" x14ac:dyDescent="0.3">
      <c r="A128" s="41">
        <v>44109</v>
      </c>
      <c r="B128" s="42">
        <v>896.95001220703102</v>
      </c>
      <c r="C128" s="42">
        <v>11503.349609375</v>
      </c>
      <c r="D128" s="289">
        <f t="shared" si="2"/>
        <v>7.5676439490796176E-3</v>
      </c>
      <c r="E128" s="289">
        <f t="shared" si="3"/>
        <v>-6.4798135412463889E-3</v>
      </c>
      <c r="F128" s="14"/>
      <c r="G128" s="14"/>
    </row>
    <row r="129" spans="1:7" ht="14.25" customHeight="1" x14ac:dyDescent="0.3">
      <c r="A129" s="41">
        <v>44110</v>
      </c>
      <c r="B129" s="42">
        <v>892.59997558593795</v>
      </c>
      <c r="C129" s="42">
        <v>11662.400390625</v>
      </c>
      <c r="D129" s="289">
        <f t="shared" si="2"/>
        <v>1.3826475474619739E-2</v>
      </c>
      <c r="E129" s="289">
        <f t="shared" si="3"/>
        <v>-4.8498094229235678E-3</v>
      </c>
      <c r="F129" s="14"/>
      <c r="G129" s="14"/>
    </row>
    <row r="130" spans="1:7" ht="14.25" customHeight="1" x14ac:dyDescent="0.3">
      <c r="A130" s="41">
        <v>44111</v>
      </c>
      <c r="B130" s="42">
        <v>887.90002441406295</v>
      </c>
      <c r="C130" s="42">
        <v>11738.849609375</v>
      </c>
      <c r="D130" s="289">
        <f t="shared" si="2"/>
        <v>6.5551872847252682E-3</v>
      </c>
      <c r="E130" s="289">
        <f t="shared" si="3"/>
        <v>-5.2654619095074094E-3</v>
      </c>
      <c r="F130" s="14"/>
      <c r="G130" s="14"/>
    </row>
    <row r="131" spans="1:7" ht="14.25" customHeight="1" x14ac:dyDescent="0.3">
      <c r="A131" s="41">
        <v>44112</v>
      </c>
      <c r="B131" s="42">
        <v>881.04998779296898</v>
      </c>
      <c r="C131" s="42">
        <v>11834.599609375</v>
      </c>
      <c r="D131" s="289">
        <f t="shared" ref="D131:D194" si="4">(C131-C130)/C130</f>
        <v>8.1566766068398352E-3</v>
      </c>
      <c r="E131" s="289">
        <f t="shared" ref="E131:E194" si="5">(B131-B130)/B130</f>
        <v>-7.7148737839199946E-3</v>
      </c>
      <c r="F131" s="14"/>
      <c r="G131" s="14"/>
    </row>
    <row r="132" spans="1:7" ht="14.25" customHeight="1" x14ac:dyDescent="0.3">
      <c r="A132" s="41">
        <v>44113</v>
      </c>
      <c r="B132" s="42">
        <v>908.45001220703102</v>
      </c>
      <c r="C132" s="42">
        <v>11914.2001953125</v>
      </c>
      <c r="D132" s="289">
        <f t="shared" si="4"/>
        <v>6.7260903253915667E-3</v>
      </c>
      <c r="E132" s="289">
        <f t="shared" si="5"/>
        <v>3.1099284709939251E-2</v>
      </c>
      <c r="F132" s="14"/>
      <c r="G132" s="14"/>
    </row>
    <row r="133" spans="1:7" ht="14.25" customHeight="1" x14ac:dyDescent="0.3">
      <c r="A133" s="41">
        <v>44116</v>
      </c>
      <c r="B133" s="42">
        <v>905.75</v>
      </c>
      <c r="C133" s="42">
        <v>11930.9501953125</v>
      </c>
      <c r="D133" s="289">
        <f t="shared" si="4"/>
        <v>1.4058853909967107E-3</v>
      </c>
      <c r="E133" s="289">
        <f t="shared" si="5"/>
        <v>-2.972108724476195E-3</v>
      </c>
      <c r="F133" s="14"/>
      <c r="G133" s="14"/>
    </row>
    <row r="134" spans="1:7" ht="14.25" customHeight="1" x14ac:dyDescent="0.3">
      <c r="A134" s="41">
        <v>44117</v>
      </c>
      <c r="B134" s="42">
        <v>896.45001220703102</v>
      </c>
      <c r="C134" s="42">
        <v>11934.5</v>
      </c>
      <c r="D134" s="289">
        <f t="shared" si="4"/>
        <v>2.9752908438882491E-4</v>
      </c>
      <c r="E134" s="289">
        <f t="shared" si="5"/>
        <v>-1.0267720444900886E-2</v>
      </c>
      <c r="F134" s="14"/>
      <c r="G134" s="14"/>
    </row>
    <row r="135" spans="1:7" ht="14.25" customHeight="1" x14ac:dyDescent="0.3">
      <c r="A135" s="41">
        <v>44118</v>
      </c>
      <c r="B135" s="42">
        <v>915.20001220703102</v>
      </c>
      <c r="C135" s="42">
        <v>11971.0498046875</v>
      </c>
      <c r="D135" s="289">
        <f t="shared" si="4"/>
        <v>3.0625333853533873E-3</v>
      </c>
      <c r="E135" s="289">
        <f t="shared" si="5"/>
        <v>2.0915834396430098E-2</v>
      </c>
      <c r="F135" s="14"/>
      <c r="G135" s="14"/>
    </row>
    <row r="136" spans="1:7" ht="14.25" customHeight="1" x14ac:dyDescent="0.3">
      <c r="A136" s="41">
        <v>44119</v>
      </c>
      <c r="B136" s="42">
        <v>888.79998779296898</v>
      </c>
      <c r="C136" s="42">
        <v>11680.349609375</v>
      </c>
      <c r="D136" s="289">
        <f t="shared" si="4"/>
        <v>-2.4283600858353342E-2</v>
      </c>
      <c r="E136" s="289">
        <f t="shared" si="5"/>
        <v>-2.8846180137604708E-2</v>
      </c>
      <c r="F136" s="14"/>
      <c r="G136" s="14"/>
    </row>
    <row r="137" spans="1:7" ht="14.25" customHeight="1" x14ac:dyDescent="0.3">
      <c r="A137" s="41">
        <v>44120</v>
      </c>
      <c r="B137" s="42">
        <v>894.09997558593795</v>
      </c>
      <c r="C137" s="42">
        <v>11762.4501953125</v>
      </c>
      <c r="D137" s="289">
        <f t="shared" si="4"/>
        <v>7.0289493622351512E-3</v>
      </c>
      <c r="E137" s="289">
        <f t="shared" si="5"/>
        <v>5.9630826572463014E-3</v>
      </c>
      <c r="F137" s="14"/>
      <c r="G137" s="14"/>
    </row>
    <row r="138" spans="1:7" ht="14.25" customHeight="1" x14ac:dyDescent="0.3">
      <c r="A138" s="41">
        <v>44123</v>
      </c>
      <c r="B138" s="42">
        <v>902.90002441406295</v>
      </c>
      <c r="C138" s="42">
        <v>11873.0498046875</v>
      </c>
      <c r="D138" s="289">
        <f t="shared" si="4"/>
        <v>9.4027696218493221E-3</v>
      </c>
      <c r="E138" s="289">
        <f t="shared" si="5"/>
        <v>9.8423543993030431E-3</v>
      </c>
      <c r="F138" s="14"/>
      <c r="G138" s="14"/>
    </row>
    <row r="139" spans="1:7" ht="14.25" customHeight="1" x14ac:dyDescent="0.3">
      <c r="A139" s="41">
        <v>44124</v>
      </c>
      <c r="B139" s="42">
        <v>917.29998779296898</v>
      </c>
      <c r="C139" s="42">
        <v>11896.7998046875</v>
      </c>
      <c r="D139" s="289">
        <f t="shared" si="4"/>
        <v>2.000328507897226E-3</v>
      </c>
      <c r="E139" s="289">
        <f t="shared" si="5"/>
        <v>1.5948569043677766E-2</v>
      </c>
      <c r="F139" s="14"/>
      <c r="G139" s="14"/>
    </row>
    <row r="140" spans="1:7" ht="14.25" customHeight="1" x14ac:dyDescent="0.3">
      <c r="A140" s="41">
        <v>44125</v>
      </c>
      <c r="B140" s="42">
        <v>924.45001220703102</v>
      </c>
      <c r="C140" s="42">
        <v>11937.650390625</v>
      </c>
      <c r="D140" s="289">
        <f t="shared" si="4"/>
        <v>3.4337457642520234E-3</v>
      </c>
      <c r="E140" s="289">
        <f t="shared" si="5"/>
        <v>7.7946413487533783E-3</v>
      </c>
      <c r="F140" s="14"/>
      <c r="G140" s="14"/>
    </row>
    <row r="141" spans="1:7" ht="14.25" customHeight="1" x14ac:dyDescent="0.3">
      <c r="A141" s="41">
        <v>44126</v>
      </c>
      <c r="B141" s="42">
        <v>936.29998779296898</v>
      </c>
      <c r="C141" s="42">
        <v>11896.4501953125</v>
      </c>
      <c r="D141" s="289">
        <f t="shared" si="4"/>
        <v>-3.4512817819539903E-3</v>
      </c>
      <c r="E141" s="289">
        <f t="shared" si="5"/>
        <v>1.2818406002989101E-2</v>
      </c>
      <c r="F141" s="14"/>
      <c r="G141" s="14"/>
    </row>
    <row r="142" spans="1:7" ht="14.25" customHeight="1" x14ac:dyDescent="0.3">
      <c r="A142" s="41">
        <v>44127</v>
      </c>
      <c r="B142" s="42">
        <v>941.25</v>
      </c>
      <c r="C142" s="42">
        <v>11930.349609375</v>
      </c>
      <c r="D142" s="289">
        <f t="shared" si="4"/>
        <v>2.8495402835256875E-3</v>
      </c>
      <c r="E142" s="289">
        <f t="shared" si="5"/>
        <v>5.2867801682867799E-3</v>
      </c>
      <c r="F142" s="14"/>
      <c r="G142" s="14"/>
    </row>
    <row r="143" spans="1:7" ht="14.25" customHeight="1" x14ac:dyDescent="0.3">
      <c r="A143" s="41">
        <v>44130</v>
      </c>
      <c r="B143" s="42">
        <v>951.75</v>
      </c>
      <c r="C143" s="42">
        <v>11767.75</v>
      </c>
      <c r="D143" s="289">
        <f t="shared" si="4"/>
        <v>-1.3629073304543183E-2</v>
      </c>
      <c r="E143" s="289">
        <f t="shared" si="5"/>
        <v>1.1155378486055778E-2</v>
      </c>
      <c r="F143" s="14"/>
      <c r="G143" s="14"/>
    </row>
    <row r="144" spans="1:7" ht="14.25" customHeight="1" x14ac:dyDescent="0.3">
      <c r="A144" s="41">
        <v>44131</v>
      </c>
      <c r="B144" s="42">
        <v>981.95001220703102</v>
      </c>
      <c r="C144" s="42">
        <v>11889.400390625</v>
      </c>
      <c r="D144" s="289">
        <f t="shared" si="4"/>
        <v>1.0337608346965222E-2</v>
      </c>
      <c r="E144" s="289">
        <f t="shared" si="5"/>
        <v>3.1731034627823507E-2</v>
      </c>
      <c r="F144" s="14"/>
      <c r="G144" s="14"/>
    </row>
    <row r="145" spans="1:7" ht="14.25" customHeight="1" x14ac:dyDescent="0.3">
      <c r="A145" s="41">
        <v>44132</v>
      </c>
      <c r="B145" s="42">
        <v>982.84997558593795</v>
      </c>
      <c r="C145" s="42">
        <v>11729.599609375</v>
      </c>
      <c r="D145" s="289">
        <f t="shared" si="4"/>
        <v>-1.3440608945763632E-2</v>
      </c>
      <c r="E145" s="289">
        <f t="shared" si="5"/>
        <v>9.1650630655238166E-4</v>
      </c>
      <c r="F145" s="14"/>
      <c r="G145" s="14"/>
    </row>
    <row r="146" spans="1:7" ht="14.25" customHeight="1" x14ac:dyDescent="0.3">
      <c r="A146" s="41">
        <v>44133</v>
      </c>
      <c r="B146" s="42">
        <v>934.5</v>
      </c>
      <c r="C146" s="42">
        <v>11670.7998046875</v>
      </c>
      <c r="D146" s="289">
        <f t="shared" si="4"/>
        <v>-5.012942184360979E-3</v>
      </c>
      <c r="E146" s="289">
        <f t="shared" si="5"/>
        <v>-4.9193647847540038E-2</v>
      </c>
      <c r="F146" s="14"/>
      <c r="G146" s="14"/>
    </row>
    <row r="147" spans="1:7" ht="14.25" customHeight="1" x14ac:dyDescent="0.3">
      <c r="A147" s="41">
        <v>44134</v>
      </c>
      <c r="B147" s="42">
        <v>929.5</v>
      </c>
      <c r="C147" s="42">
        <v>11642.400390625</v>
      </c>
      <c r="D147" s="289">
        <f t="shared" si="4"/>
        <v>-2.4333734223676395E-3</v>
      </c>
      <c r="E147" s="289">
        <f t="shared" si="5"/>
        <v>-5.3504547886570357E-3</v>
      </c>
      <c r="F147" s="14"/>
      <c r="G147" s="14"/>
    </row>
    <row r="148" spans="1:7" ht="14.25" customHeight="1" x14ac:dyDescent="0.3">
      <c r="A148" s="41">
        <v>44137</v>
      </c>
      <c r="B148" s="42">
        <v>929.29998779296898</v>
      </c>
      <c r="C148" s="42">
        <v>11669.150390625</v>
      </c>
      <c r="D148" s="289">
        <f t="shared" si="4"/>
        <v>2.2976361491175257E-3</v>
      </c>
      <c r="E148" s="289">
        <f t="shared" si="5"/>
        <v>-2.1518257883918518E-4</v>
      </c>
      <c r="F148" s="14"/>
      <c r="G148" s="14"/>
    </row>
    <row r="149" spans="1:7" ht="14.25" customHeight="1" x14ac:dyDescent="0.3">
      <c r="A149" s="41">
        <v>44138</v>
      </c>
      <c r="B149" s="42">
        <v>947.75</v>
      </c>
      <c r="C149" s="42">
        <v>11813.5</v>
      </c>
      <c r="D149" s="289">
        <f t="shared" si="4"/>
        <v>1.2370190163199074E-2</v>
      </c>
      <c r="E149" s="289">
        <f t="shared" si="5"/>
        <v>1.98536666839399E-2</v>
      </c>
      <c r="F149" s="14"/>
      <c r="G149" s="14"/>
    </row>
    <row r="150" spans="1:7" ht="14.25" customHeight="1" x14ac:dyDescent="0.3">
      <c r="A150" s="41">
        <v>44139</v>
      </c>
      <c r="B150" s="42">
        <v>939.84997558593795</v>
      </c>
      <c r="C150" s="42">
        <v>11908.5</v>
      </c>
      <c r="D150" s="289">
        <f t="shared" si="4"/>
        <v>8.041647267956151E-3</v>
      </c>
      <c r="E150" s="289">
        <f t="shared" si="5"/>
        <v>-8.3355572820491119E-3</v>
      </c>
      <c r="F150" s="14"/>
      <c r="G150" s="14"/>
    </row>
    <row r="151" spans="1:7" ht="14.25" customHeight="1" x14ac:dyDescent="0.3">
      <c r="A151" s="41">
        <v>44140</v>
      </c>
      <c r="B151" s="42">
        <v>958.09997558593795</v>
      </c>
      <c r="C151" s="42">
        <v>12120.2998046875</v>
      </c>
      <c r="D151" s="289">
        <f t="shared" si="4"/>
        <v>1.7785598915690475E-2</v>
      </c>
      <c r="E151" s="289">
        <f t="shared" si="5"/>
        <v>1.9417992737215596E-2</v>
      </c>
      <c r="F151" s="14"/>
      <c r="G151" s="14"/>
    </row>
    <row r="152" spans="1:7" ht="14.25" customHeight="1" x14ac:dyDescent="0.3">
      <c r="A152" s="41">
        <v>44141</v>
      </c>
      <c r="B152" s="42">
        <v>960.75</v>
      </c>
      <c r="C152" s="42">
        <v>12263.5498046875</v>
      </c>
      <c r="D152" s="289">
        <f t="shared" si="4"/>
        <v>1.1819014571289595E-2</v>
      </c>
      <c r="E152" s="289">
        <f t="shared" si="5"/>
        <v>2.7659163778199557E-3</v>
      </c>
      <c r="F152" s="14"/>
      <c r="G152" s="14"/>
    </row>
    <row r="153" spans="1:7" ht="14.25" customHeight="1" x14ac:dyDescent="0.3">
      <c r="A153" s="41">
        <v>44144</v>
      </c>
      <c r="B153" s="42">
        <v>965.84997558593795</v>
      </c>
      <c r="C153" s="42">
        <v>12461.0498046875</v>
      </c>
      <c r="D153" s="289">
        <f t="shared" si="4"/>
        <v>1.6104635537461554E-2</v>
      </c>
      <c r="E153" s="289">
        <f t="shared" si="5"/>
        <v>5.3083274378745299E-3</v>
      </c>
      <c r="F153" s="14"/>
      <c r="G153" s="14"/>
    </row>
    <row r="154" spans="1:7" ht="14.25" customHeight="1" x14ac:dyDescent="0.3">
      <c r="A154" s="41">
        <v>44145</v>
      </c>
      <c r="B154" s="42">
        <v>1033.69995117188</v>
      </c>
      <c r="C154" s="42">
        <v>12631.099609375</v>
      </c>
      <c r="D154" s="289">
        <f t="shared" si="4"/>
        <v>1.3646507104363872E-2</v>
      </c>
      <c r="E154" s="289">
        <f t="shared" si="5"/>
        <v>7.0248979966873737E-2</v>
      </c>
      <c r="F154" s="14"/>
      <c r="G154" s="14"/>
    </row>
    <row r="155" spans="1:7" ht="14.25" customHeight="1" x14ac:dyDescent="0.3">
      <c r="A155" s="41">
        <v>44146</v>
      </c>
      <c r="B155" s="42">
        <v>1059.44995117188</v>
      </c>
      <c r="C155" s="42">
        <v>12749.150390625</v>
      </c>
      <c r="D155" s="289">
        <f t="shared" si="4"/>
        <v>9.3460415087203378E-3</v>
      </c>
      <c r="E155" s="289">
        <f t="shared" si="5"/>
        <v>2.491051680016804E-2</v>
      </c>
      <c r="F155" s="14"/>
      <c r="G155" s="14"/>
    </row>
    <row r="156" spans="1:7" ht="14.25" customHeight="1" x14ac:dyDescent="0.3">
      <c r="A156" s="41">
        <v>44147</v>
      </c>
      <c r="B156" s="42">
        <v>1073.19995117188</v>
      </c>
      <c r="C156" s="42">
        <v>12690.7998046875</v>
      </c>
      <c r="D156" s="289">
        <f t="shared" si="4"/>
        <v>-4.5768215253314216E-3</v>
      </c>
      <c r="E156" s="289">
        <f t="shared" si="5"/>
        <v>1.2978432803541908E-2</v>
      </c>
      <c r="F156" s="14"/>
      <c r="G156" s="14"/>
    </row>
    <row r="157" spans="1:7" ht="14.25" customHeight="1" x14ac:dyDescent="0.3">
      <c r="A157" s="41">
        <v>44148</v>
      </c>
      <c r="B157" s="42">
        <v>1051.5</v>
      </c>
      <c r="C157" s="42">
        <v>12719.9501953125</v>
      </c>
      <c r="D157" s="289">
        <f t="shared" si="4"/>
        <v>2.2969703307614193E-3</v>
      </c>
      <c r="E157" s="289">
        <f t="shared" si="5"/>
        <v>-2.0219858515819679E-2</v>
      </c>
      <c r="F157" s="14"/>
      <c r="G157" s="14"/>
    </row>
    <row r="158" spans="1:7" ht="14.25" customHeight="1" x14ac:dyDescent="0.3">
      <c r="A158" s="41">
        <v>44152</v>
      </c>
      <c r="B158" s="42">
        <v>1080.90002441406</v>
      </c>
      <c r="C158" s="42">
        <v>12874.2001953125</v>
      </c>
      <c r="D158" s="289">
        <f t="shared" si="4"/>
        <v>1.2126619808373427E-2</v>
      </c>
      <c r="E158" s="289">
        <f t="shared" si="5"/>
        <v>2.7960080279657632E-2</v>
      </c>
      <c r="F158" s="14"/>
      <c r="G158" s="14"/>
    </row>
    <row r="159" spans="1:7" ht="14.25" customHeight="1" x14ac:dyDescent="0.3">
      <c r="A159" s="41">
        <v>44153</v>
      </c>
      <c r="B159" s="42">
        <v>1148.15002441406</v>
      </c>
      <c r="C159" s="42">
        <v>12938.25</v>
      </c>
      <c r="D159" s="289">
        <f t="shared" si="4"/>
        <v>4.9750511655722541E-3</v>
      </c>
      <c r="E159" s="289">
        <f t="shared" si="5"/>
        <v>6.2216669887166703E-2</v>
      </c>
      <c r="F159" s="14"/>
      <c r="G159" s="14"/>
    </row>
    <row r="160" spans="1:7" ht="14.25" customHeight="1" x14ac:dyDescent="0.3">
      <c r="A160" s="41">
        <v>44154</v>
      </c>
      <c r="B160" s="42">
        <v>1134.25</v>
      </c>
      <c r="C160" s="42">
        <v>12771.7001953125</v>
      </c>
      <c r="D160" s="289">
        <f t="shared" si="4"/>
        <v>-1.2872668613413716E-2</v>
      </c>
      <c r="E160" s="289">
        <f t="shared" si="5"/>
        <v>-1.210645309279478E-2</v>
      </c>
      <c r="F160" s="14"/>
      <c r="G160" s="14"/>
    </row>
    <row r="161" spans="1:7" ht="14.25" customHeight="1" x14ac:dyDescent="0.3">
      <c r="A161" s="41">
        <v>44155</v>
      </c>
      <c r="B161" s="42">
        <v>1132.30004882813</v>
      </c>
      <c r="C161" s="42">
        <v>12859.0498046875</v>
      </c>
      <c r="D161" s="289">
        <f t="shared" si="4"/>
        <v>6.83930941371919E-3</v>
      </c>
      <c r="E161" s="289">
        <f t="shared" si="5"/>
        <v>-1.7191546589111729E-3</v>
      </c>
      <c r="F161" s="14"/>
      <c r="G161" s="14"/>
    </row>
    <row r="162" spans="1:7" ht="14.25" customHeight="1" x14ac:dyDescent="0.3">
      <c r="A162" s="41">
        <v>44158</v>
      </c>
      <c r="B162" s="42">
        <v>1125.84997558594</v>
      </c>
      <c r="C162" s="42">
        <v>12926.4501953125</v>
      </c>
      <c r="D162" s="289">
        <f t="shared" si="4"/>
        <v>5.241475198302023E-3</v>
      </c>
      <c r="E162" s="289">
        <f t="shared" si="5"/>
        <v>-5.6964346586980035E-3</v>
      </c>
      <c r="F162" s="14"/>
      <c r="G162" s="14"/>
    </row>
    <row r="163" spans="1:7" ht="14.25" customHeight="1" x14ac:dyDescent="0.3">
      <c r="A163" s="41">
        <v>44159</v>
      </c>
      <c r="B163" s="42">
        <v>1135.5</v>
      </c>
      <c r="C163" s="42">
        <v>13055.150390625</v>
      </c>
      <c r="D163" s="289">
        <f t="shared" si="4"/>
        <v>9.9563448098976444E-3</v>
      </c>
      <c r="E163" s="289">
        <f t="shared" si="5"/>
        <v>8.5713235540443283E-3</v>
      </c>
      <c r="F163" s="14"/>
      <c r="G163" s="14"/>
    </row>
    <row r="164" spans="1:7" ht="14.25" customHeight="1" x14ac:dyDescent="0.3">
      <c r="A164" s="41">
        <v>44160</v>
      </c>
      <c r="B164" s="42">
        <v>1116</v>
      </c>
      <c r="C164" s="42">
        <v>12858.400390625</v>
      </c>
      <c r="D164" s="289">
        <f t="shared" si="4"/>
        <v>-1.507068046809232E-2</v>
      </c>
      <c r="E164" s="289">
        <f t="shared" si="5"/>
        <v>-1.7173051519154558E-2</v>
      </c>
      <c r="F164" s="14"/>
      <c r="G164" s="14"/>
    </row>
    <row r="165" spans="1:7" ht="14.25" customHeight="1" x14ac:dyDescent="0.3">
      <c r="A165" s="41">
        <v>44161</v>
      </c>
      <c r="B165" s="42">
        <v>1118.84997558594</v>
      </c>
      <c r="C165" s="42">
        <v>12987</v>
      </c>
      <c r="D165" s="289">
        <f t="shared" si="4"/>
        <v>1.0001213639976662E-2</v>
      </c>
      <c r="E165" s="289">
        <f t="shared" si="5"/>
        <v>2.5537415644623666E-3</v>
      </c>
      <c r="F165" s="14"/>
      <c r="G165" s="14"/>
    </row>
    <row r="166" spans="1:7" ht="14.25" customHeight="1" x14ac:dyDescent="0.3">
      <c r="A166" s="41">
        <v>44162</v>
      </c>
      <c r="B166" s="42">
        <v>1122.40002441406</v>
      </c>
      <c r="C166" s="42">
        <v>12968.9501953125</v>
      </c>
      <c r="D166" s="289">
        <f t="shared" si="4"/>
        <v>-1.3898363507738507E-3</v>
      </c>
      <c r="E166" s="289">
        <f t="shared" si="5"/>
        <v>3.1729444568838129E-3</v>
      </c>
      <c r="F166" s="14"/>
      <c r="G166" s="14"/>
    </row>
    <row r="167" spans="1:7" ht="14.25" customHeight="1" x14ac:dyDescent="0.3">
      <c r="A167" s="41">
        <v>44166</v>
      </c>
      <c r="B167" s="42">
        <v>1115.94995117188</v>
      </c>
      <c r="C167" s="42">
        <v>13109.0498046875</v>
      </c>
      <c r="D167" s="289">
        <f t="shared" si="4"/>
        <v>1.0802694687318455E-2</v>
      </c>
      <c r="E167" s="289">
        <f t="shared" si="5"/>
        <v>-5.7466795276908574E-3</v>
      </c>
      <c r="F167" s="14"/>
      <c r="G167" s="14"/>
    </row>
    <row r="168" spans="1:7" ht="14.25" customHeight="1" x14ac:dyDescent="0.3">
      <c r="A168" s="41">
        <v>44167</v>
      </c>
      <c r="B168" s="42">
        <v>1113.75</v>
      </c>
      <c r="C168" s="42">
        <v>13113.75</v>
      </c>
      <c r="D168" s="289">
        <f t="shared" si="4"/>
        <v>3.5854584295036521E-4</v>
      </c>
      <c r="E168" s="289">
        <f t="shared" si="5"/>
        <v>-1.9713708213973148E-3</v>
      </c>
      <c r="F168" s="14"/>
      <c r="G168" s="14"/>
    </row>
    <row r="169" spans="1:7" ht="14.25" customHeight="1" x14ac:dyDescent="0.3">
      <c r="A169" s="41">
        <v>44168</v>
      </c>
      <c r="B169" s="42">
        <v>1125.15002441406</v>
      </c>
      <c r="C169" s="42">
        <v>13133.900390625</v>
      </c>
      <c r="D169" s="289">
        <f t="shared" si="4"/>
        <v>1.5365849299399485E-3</v>
      </c>
      <c r="E169" s="289">
        <f t="shared" si="5"/>
        <v>1.0235712156282828E-2</v>
      </c>
      <c r="F169" s="14"/>
      <c r="G169" s="14"/>
    </row>
    <row r="170" spans="1:7" ht="14.25" customHeight="1" x14ac:dyDescent="0.3">
      <c r="A170" s="41">
        <v>44169</v>
      </c>
      <c r="B170" s="42">
        <v>1149.5</v>
      </c>
      <c r="C170" s="42">
        <v>13258.5498046875</v>
      </c>
      <c r="D170" s="289">
        <f t="shared" si="4"/>
        <v>9.4906623588736031E-3</v>
      </c>
      <c r="E170" s="289">
        <f t="shared" si="5"/>
        <v>2.1641536735175066E-2</v>
      </c>
      <c r="F170" s="14"/>
      <c r="G170" s="14"/>
    </row>
    <row r="171" spans="1:7" ht="14.25" customHeight="1" x14ac:dyDescent="0.3">
      <c r="A171" s="41">
        <v>44172</v>
      </c>
      <c r="B171" s="42">
        <v>1169.69995117188</v>
      </c>
      <c r="C171" s="42">
        <v>13355.75</v>
      </c>
      <c r="D171" s="289">
        <f t="shared" si="4"/>
        <v>7.3311332494399436E-3</v>
      </c>
      <c r="E171" s="289">
        <f t="shared" si="5"/>
        <v>1.7572815286541976E-2</v>
      </c>
      <c r="F171" s="14"/>
      <c r="G171" s="14"/>
    </row>
    <row r="172" spans="1:7" ht="14.25" customHeight="1" x14ac:dyDescent="0.3">
      <c r="A172" s="41">
        <v>44173</v>
      </c>
      <c r="B172" s="42">
        <v>1171.40002441406</v>
      </c>
      <c r="C172" s="42">
        <v>13392.9501953125</v>
      </c>
      <c r="D172" s="289">
        <f t="shared" si="4"/>
        <v>2.7853318093330587E-3</v>
      </c>
      <c r="E172" s="289">
        <f t="shared" si="5"/>
        <v>1.4534267873370045E-3</v>
      </c>
      <c r="F172" s="14"/>
      <c r="G172" s="14"/>
    </row>
    <row r="173" spans="1:7" ht="14.25" customHeight="1" x14ac:dyDescent="0.3">
      <c r="A173" s="41">
        <v>44174</v>
      </c>
      <c r="B173" s="42">
        <v>1181</v>
      </c>
      <c r="C173" s="42">
        <v>13529.099609375</v>
      </c>
      <c r="D173" s="289">
        <f t="shared" si="4"/>
        <v>1.0165752285866931E-2</v>
      </c>
      <c r="E173" s="289">
        <f t="shared" si="5"/>
        <v>8.1953008245342629E-3</v>
      </c>
      <c r="F173" s="14"/>
      <c r="G173" s="14"/>
    </row>
    <row r="174" spans="1:7" ht="14.25" customHeight="1" x14ac:dyDescent="0.3">
      <c r="A174" s="41">
        <v>44175</v>
      </c>
      <c r="B174" s="42">
        <v>1190.34997558594</v>
      </c>
      <c r="C174" s="42">
        <v>13478.2998046875</v>
      </c>
      <c r="D174" s="289">
        <f t="shared" si="4"/>
        <v>-3.7548548058806688E-3</v>
      </c>
      <c r="E174" s="289">
        <f t="shared" si="5"/>
        <v>7.9169988026587639E-3</v>
      </c>
      <c r="F174" s="14"/>
      <c r="G174" s="14"/>
    </row>
    <row r="175" spans="1:7" ht="14.25" customHeight="1" x14ac:dyDescent="0.3">
      <c r="A175" s="41">
        <v>44176</v>
      </c>
      <c r="B175" s="42">
        <v>1194.30004882813</v>
      </c>
      <c r="C175" s="42">
        <v>13513.849609375</v>
      </c>
      <c r="D175" s="289">
        <f t="shared" si="4"/>
        <v>2.6375585350265351E-3</v>
      </c>
      <c r="E175" s="289">
        <f t="shared" si="5"/>
        <v>3.318413343307383E-3</v>
      </c>
      <c r="F175" s="14"/>
      <c r="G175" s="14"/>
    </row>
    <row r="176" spans="1:7" ht="14.25" customHeight="1" x14ac:dyDescent="0.3">
      <c r="A176" s="41">
        <v>44179</v>
      </c>
      <c r="B176" s="42">
        <v>1249.65002441406</v>
      </c>
      <c r="C176" s="42">
        <v>13558.150390625</v>
      </c>
      <c r="D176" s="289">
        <f t="shared" si="4"/>
        <v>3.2781762806703943E-3</v>
      </c>
      <c r="E176" s="289">
        <f t="shared" si="5"/>
        <v>4.6345117075261323E-2</v>
      </c>
      <c r="F176" s="14"/>
      <c r="G176" s="14"/>
    </row>
    <row r="177" spans="1:7" ht="14.25" customHeight="1" x14ac:dyDescent="0.3">
      <c r="A177" s="41">
        <v>44180</v>
      </c>
      <c r="B177" s="42">
        <v>1246.25</v>
      </c>
      <c r="C177" s="42">
        <v>13567.849609375</v>
      </c>
      <c r="D177" s="289">
        <f t="shared" si="4"/>
        <v>7.1537919779284052E-4</v>
      </c>
      <c r="E177" s="289">
        <f t="shared" si="5"/>
        <v>-2.7207812968708688E-3</v>
      </c>
      <c r="F177" s="14"/>
      <c r="G177" s="14"/>
    </row>
    <row r="178" spans="1:7" ht="14.25" customHeight="1" x14ac:dyDescent="0.3">
      <c r="A178" s="41">
        <v>44181</v>
      </c>
      <c r="B178" s="42">
        <v>1268.25</v>
      </c>
      <c r="C178" s="42">
        <v>13682.7001953125</v>
      </c>
      <c r="D178" s="289">
        <f t="shared" si="4"/>
        <v>8.4649070592691042E-3</v>
      </c>
      <c r="E178" s="289">
        <f t="shared" si="5"/>
        <v>1.765295887662989E-2</v>
      </c>
      <c r="F178" s="14"/>
      <c r="G178" s="14"/>
    </row>
    <row r="179" spans="1:7" ht="14.25" customHeight="1" x14ac:dyDescent="0.3">
      <c r="A179" s="41">
        <v>44182</v>
      </c>
      <c r="B179" s="42">
        <v>1278.80004882813</v>
      </c>
      <c r="C179" s="42">
        <v>13740.7001953125</v>
      </c>
      <c r="D179" s="289">
        <f t="shared" si="4"/>
        <v>4.2389293905504104E-3</v>
      </c>
      <c r="E179" s="289">
        <f t="shared" si="5"/>
        <v>8.3185876823418121E-3</v>
      </c>
      <c r="F179" s="14"/>
      <c r="G179" s="14"/>
    </row>
    <row r="180" spans="1:7" ht="14.25" customHeight="1" x14ac:dyDescent="0.3">
      <c r="A180" s="41">
        <v>44183</v>
      </c>
      <c r="B180" s="42">
        <v>1281.55004882813</v>
      </c>
      <c r="C180" s="42">
        <v>13760.5498046875</v>
      </c>
      <c r="D180" s="289">
        <f t="shared" si="4"/>
        <v>1.4445849987885983E-3</v>
      </c>
      <c r="E180" s="289">
        <f t="shared" si="5"/>
        <v>2.1504534680930392E-3</v>
      </c>
      <c r="F180" s="14"/>
      <c r="G180" s="14"/>
    </row>
    <row r="181" spans="1:7" ht="14.25" customHeight="1" x14ac:dyDescent="0.3">
      <c r="A181" s="41">
        <v>44186</v>
      </c>
      <c r="B181" s="42">
        <v>1234.84997558594</v>
      </c>
      <c r="C181" s="42">
        <v>13328.400390625</v>
      </c>
      <c r="D181" s="289">
        <f t="shared" si="4"/>
        <v>-3.1404952577933277E-2</v>
      </c>
      <c r="E181" s="289">
        <f t="shared" si="5"/>
        <v>-3.6440303899869769E-2</v>
      </c>
      <c r="F181" s="14"/>
      <c r="G181" s="14"/>
    </row>
    <row r="182" spans="1:7" ht="14.25" customHeight="1" x14ac:dyDescent="0.3">
      <c r="A182" s="41">
        <v>44187</v>
      </c>
      <c r="B182" s="42">
        <v>1262.69995117188</v>
      </c>
      <c r="C182" s="42">
        <v>13466.2998046875</v>
      </c>
      <c r="D182" s="289">
        <f t="shared" si="4"/>
        <v>1.034628387660806E-2</v>
      </c>
      <c r="E182" s="289">
        <f t="shared" si="5"/>
        <v>2.2553327235338937E-2</v>
      </c>
      <c r="F182" s="14"/>
      <c r="G182" s="14"/>
    </row>
    <row r="183" spans="1:7" ht="14.25" customHeight="1" x14ac:dyDescent="0.3">
      <c r="A183" s="41">
        <v>44188</v>
      </c>
      <c r="B183" s="42">
        <v>1264.80004882813</v>
      </c>
      <c r="C183" s="42">
        <v>13601.099609375</v>
      </c>
      <c r="D183" s="289">
        <f t="shared" si="4"/>
        <v>1.0010159185716136E-2</v>
      </c>
      <c r="E183" s="289">
        <f t="shared" si="5"/>
        <v>1.6631802783400381E-3</v>
      </c>
      <c r="F183" s="14"/>
      <c r="G183" s="14"/>
    </row>
    <row r="184" spans="1:7" ht="14.25" customHeight="1" x14ac:dyDescent="0.3">
      <c r="A184" s="41">
        <v>44189</v>
      </c>
      <c r="B184" s="42">
        <v>1262.19995117188</v>
      </c>
      <c r="C184" s="42">
        <v>13749.25</v>
      </c>
      <c r="D184" s="289">
        <f t="shared" si="4"/>
        <v>1.0892530374741357E-2</v>
      </c>
      <c r="E184" s="289">
        <f t="shared" si="5"/>
        <v>-2.0557381055282672E-3</v>
      </c>
      <c r="F184" s="14"/>
      <c r="G184" s="14"/>
    </row>
    <row r="185" spans="1:7" ht="14.25" customHeight="1" x14ac:dyDescent="0.3">
      <c r="A185" s="41">
        <v>44193</v>
      </c>
      <c r="B185" s="42">
        <v>1289.40002441406</v>
      </c>
      <c r="C185" s="42">
        <v>13873.2001953125</v>
      </c>
      <c r="D185" s="289">
        <f t="shared" si="4"/>
        <v>9.0150513891666811E-3</v>
      </c>
      <c r="E185" s="289">
        <f t="shared" si="5"/>
        <v>2.1549734031384087E-2</v>
      </c>
      <c r="F185" s="14"/>
      <c r="G185" s="14"/>
    </row>
    <row r="186" spans="1:7" ht="14.25" customHeight="1" x14ac:dyDescent="0.3">
      <c r="A186" s="41">
        <v>44194</v>
      </c>
      <c r="B186" s="42">
        <v>1284.84997558594</v>
      </c>
      <c r="C186" s="42">
        <v>13932.599609375</v>
      </c>
      <c r="D186" s="289">
        <f t="shared" si="4"/>
        <v>4.281594241144878E-3</v>
      </c>
      <c r="E186" s="289">
        <f t="shared" si="5"/>
        <v>-3.5288108748002152E-3</v>
      </c>
      <c r="F186" s="14"/>
      <c r="G186" s="14"/>
    </row>
    <row r="187" spans="1:7" ht="14.25" customHeight="1" x14ac:dyDescent="0.3">
      <c r="A187" s="41">
        <v>44195</v>
      </c>
      <c r="B187" s="42">
        <v>1292.05004882813</v>
      </c>
      <c r="C187" s="42">
        <v>13981.9501953125</v>
      </c>
      <c r="D187" s="289">
        <f t="shared" si="4"/>
        <v>3.542094606974341E-3</v>
      </c>
      <c r="E187" s="289">
        <f t="shared" si="5"/>
        <v>5.6038240876383223E-3</v>
      </c>
      <c r="F187" s="14"/>
      <c r="G187" s="14"/>
    </row>
    <row r="188" spans="1:7" ht="14.25" customHeight="1" x14ac:dyDescent="0.3">
      <c r="A188" s="41">
        <v>44196</v>
      </c>
      <c r="B188" s="42">
        <v>1287.59997558594</v>
      </c>
      <c r="C188" s="42">
        <v>13981.75</v>
      </c>
      <c r="D188" s="289">
        <f t="shared" si="4"/>
        <v>-1.4318125133010144E-5</v>
      </c>
      <c r="E188" s="289">
        <f t="shared" si="5"/>
        <v>-3.4441957153487596E-3</v>
      </c>
      <c r="F188" s="14"/>
      <c r="G188" s="14"/>
    </row>
    <row r="189" spans="1:7" ht="14.25" customHeight="1" x14ac:dyDescent="0.3">
      <c r="A189" s="41">
        <v>44197</v>
      </c>
      <c r="B189" s="42">
        <v>1297</v>
      </c>
      <c r="C189" s="42">
        <v>14018.5</v>
      </c>
      <c r="D189" s="289">
        <f t="shared" si="4"/>
        <v>2.6284263414808589E-3</v>
      </c>
      <c r="E189" s="289">
        <f t="shared" si="5"/>
        <v>7.3004229514546156E-3</v>
      </c>
      <c r="F189" s="14"/>
      <c r="G189" s="14"/>
    </row>
    <row r="190" spans="1:7" ht="14.25" customHeight="1" x14ac:dyDescent="0.3">
      <c r="A190" s="41">
        <v>44200</v>
      </c>
      <c r="B190" s="42">
        <v>1314.59997558594</v>
      </c>
      <c r="C190" s="42">
        <v>14132.900390625</v>
      </c>
      <c r="D190" s="289">
        <f t="shared" si="4"/>
        <v>8.1606727271106034E-3</v>
      </c>
      <c r="E190" s="289">
        <f t="shared" si="5"/>
        <v>1.3569757583608328E-2</v>
      </c>
      <c r="F190" s="14"/>
      <c r="G190" s="14"/>
    </row>
    <row r="191" spans="1:7" ht="14.25" customHeight="1" x14ac:dyDescent="0.3">
      <c r="A191" s="41">
        <v>44201</v>
      </c>
      <c r="B191" s="42">
        <v>1306.30004882813</v>
      </c>
      <c r="C191" s="42">
        <v>14199.5</v>
      </c>
      <c r="D191" s="289">
        <f t="shared" si="4"/>
        <v>4.7123808655142414E-3</v>
      </c>
      <c r="E191" s="289">
        <f t="shared" si="5"/>
        <v>-6.3136519944864428E-3</v>
      </c>
      <c r="F191" s="14"/>
      <c r="G191" s="14"/>
    </row>
    <row r="192" spans="1:7" ht="14.25" customHeight="1" x14ac:dyDescent="0.3">
      <c r="A192" s="41">
        <v>44202</v>
      </c>
      <c r="B192" s="42">
        <v>1314</v>
      </c>
      <c r="C192" s="42">
        <v>14146.25</v>
      </c>
      <c r="D192" s="289">
        <f t="shared" si="4"/>
        <v>-3.7501320469030598E-3</v>
      </c>
      <c r="E192" s="289">
        <f t="shared" si="5"/>
        <v>5.8944736155966265E-3</v>
      </c>
      <c r="F192" s="14"/>
      <c r="G192" s="14"/>
    </row>
    <row r="193" spans="1:7" ht="14.25" customHeight="1" x14ac:dyDescent="0.3">
      <c r="A193" s="41">
        <v>44203</v>
      </c>
      <c r="B193" s="42">
        <v>1338.94995117188</v>
      </c>
      <c r="C193" s="42">
        <v>14137.349609375</v>
      </c>
      <c r="D193" s="289">
        <f t="shared" si="4"/>
        <v>-6.2916961208800914E-4</v>
      </c>
      <c r="E193" s="289">
        <f t="shared" si="5"/>
        <v>1.8987786279969561E-2</v>
      </c>
      <c r="F193" s="14"/>
      <c r="G193" s="14"/>
    </row>
    <row r="194" spans="1:7" ht="14.25" customHeight="1" x14ac:dyDescent="0.3">
      <c r="A194" s="41">
        <v>44204</v>
      </c>
      <c r="B194" s="42">
        <v>1373.40002441406</v>
      </c>
      <c r="C194" s="42">
        <v>14347.25</v>
      </c>
      <c r="D194" s="289">
        <f t="shared" si="4"/>
        <v>1.4847223590326102E-2</v>
      </c>
      <c r="E194" s="289">
        <f t="shared" si="5"/>
        <v>2.5729171737919325E-2</v>
      </c>
      <c r="F194" s="14"/>
      <c r="G194" s="14"/>
    </row>
    <row r="195" spans="1:7" ht="14.25" customHeight="1" x14ac:dyDescent="0.3">
      <c r="A195" s="41">
        <v>44207</v>
      </c>
      <c r="B195" s="42">
        <v>1350</v>
      </c>
      <c r="C195" s="42">
        <v>14484.75</v>
      </c>
      <c r="D195" s="289">
        <f t="shared" ref="D195:D258" si="6">(C195-C194)/C194</f>
        <v>9.5837181341372046E-3</v>
      </c>
      <c r="E195" s="289">
        <f t="shared" ref="E195:E258" si="7">(B195-B194)/B194</f>
        <v>-1.7038025337186999E-2</v>
      </c>
      <c r="F195" s="14"/>
      <c r="G195" s="14"/>
    </row>
    <row r="196" spans="1:7" ht="14.25" customHeight="1" x14ac:dyDescent="0.3">
      <c r="A196" s="41">
        <v>44208</v>
      </c>
      <c r="B196" s="42">
        <v>1349.80004882813</v>
      </c>
      <c r="C196" s="42">
        <v>14563.4501953125</v>
      </c>
      <c r="D196" s="289">
        <f t="shared" si="6"/>
        <v>5.4333140242323824E-3</v>
      </c>
      <c r="E196" s="289">
        <f t="shared" si="7"/>
        <v>-1.4811197916296133E-4</v>
      </c>
      <c r="F196" s="14"/>
      <c r="G196" s="14"/>
    </row>
    <row r="197" spans="1:7" ht="14.25" customHeight="1" x14ac:dyDescent="0.3">
      <c r="A197" s="41">
        <v>44209</v>
      </c>
      <c r="B197" s="42">
        <v>1352.5</v>
      </c>
      <c r="C197" s="42">
        <v>14564.849609375</v>
      </c>
      <c r="D197" s="289">
        <f t="shared" si="6"/>
        <v>9.6090833128981056E-5</v>
      </c>
      <c r="E197" s="289">
        <f t="shared" si="7"/>
        <v>2.0002600934961017E-3</v>
      </c>
      <c r="F197" s="14"/>
      <c r="G197" s="14"/>
    </row>
    <row r="198" spans="1:7" ht="14.25" customHeight="1" x14ac:dyDescent="0.3">
      <c r="A198" s="41">
        <v>44210</v>
      </c>
      <c r="B198" s="42">
        <v>1376.59997558594</v>
      </c>
      <c r="C198" s="42">
        <v>14595.599609375</v>
      </c>
      <c r="D198" s="289">
        <f t="shared" si="6"/>
        <v>2.1112473403231747E-3</v>
      </c>
      <c r="E198" s="289">
        <f t="shared" si="7"/>
        <v>1.7818835923060997E-2</v>
      </c>
      <c r="F198" s="14"/>
      <c r="G198" s="14"/>
    </row>
    <row r="199" spans="1:7" ht="14.25" customHeight="1" x14ac:dyDescent="0.3">
      <c r="A199" s="41">
        <v>44211</v>
      </c>
      <c r="B199" s="42">
        <v>1354.15002441406</v>
      </c>
      <c r="C199" s="42">
        <v>14433.7001953125</v>
      </c>
      <c r="D199" s="289">
        <f t="shared" si="6"/>
        <v>-1.1092344158201577E-2</v>
      </c>
      <c r="E199" s="289">
        <f t="shared" si="7"/>
        <v>-1.6308260620391441E-2</v>
      </c>
      <c r="F199" s="14"/>
      <c r="G199" s="14"/>
    </row>
    <row r="200" spans="1:7" ht="14.25" customHeight="1" x14ac:dyDescent="0.3">
      <c r="A200" s="41">
        <v>44214</v>
      </c>
      <c r="B200" s="42">
        <v>1336.05004882813</v>
      </c>
      <c r="C200" s="42">
        <v>14281.2998046875</v>
      </c>
      <c r="D200" s="289">
        <f t="shared" si="6"/>
        <v>-1.0558650142566607E-2</v>
      </c>
      <c r="E200" s="289">
        <f t="shared" si="7"/>
        <v>-1.3366300084631941E-2</v>
      </c>
      <c r="F200" s="14"/>
      <c r="G200" s="14"/>
    </row>
    <row r="201" spans="1:7" ht="14.25" customHeight="1" x14ac:dyDescent="0.3">
      <c r="A201" s="41">
        <v>44215</v>
      </c>
      <c r="B201" s="42">
        <v>1369.84997558594</v>
      </c>
      <c r="C201" s="42">
        <v>14521.150390625</v>
      </c>
      <c r="D201" s="289">
        <f t="shared" si="6"/>
        <v>1.6794730817062932E-2</v>
      </c>
      <c r="E201" s="289">
        <f t="shared" si="7"/>
        <v>2.529839865464354E-2</v>
      </c>
      <c r="F201" s="14"/>
      <c r="G201" s="14"/>
    </row>
    <row r="202" spans="1:7" ht="14.25" customHeight="1" x14ac:dyDescent="0.3">
      <c r="A202" s="41">
        <v>44216</v>
      </c>
      <c r="B202" s="42">
        <v>1382.65002441406</v>
      </c>
      <c r="C202" s="42">
        <v>14644.7001953125</v>
      </c>
      <c r="D202" s="289">
        <f t="shared" si="6"/>
        <v>8.5082656238630369E-3</v>
      </c>
      <c r="E202" s="289">
        <f t="shared" si="7"/>
        <v>9.3441245802445647E-3</v>
      </c>
      <c r="F202" s="14"/>
      <c r="G202" s="14"/>
    </row>
    <row r="203" spans="1:7" ht="14.25" customHeight="1" x14ac:dyDescent="0.3">
      <c r="A203" s="41">
        <v>44217</v>
      </c>
      <c r="B203" s="42">
        <v>1371.30004882813</v>
      </c>
      <c r="C203" s="42">
        <v>14590.349609375</v>
      </c>
      <c r="D203" s="289">
        <f t="shared" si="6"/>
        <v>-3.7112802046228729E-3</v>
      </c>
      <c r="E203" s="289">
        <f t="shared" si="7"/>
        <v>-8.2088564607951994E-3</v>
      </c>
      <c r="F203" s="14"/>
      <c r="G203" s="14"/>
    </row>
    <row r="204" spans="1:7" ht="14.25" customHeight="1" x14ac:dyDescent="0.3">
      <c r="A204" s="41">
        <v>44218</v>
      </c>
      <c r="B204" s="42">
        <v>1362.09997558594</v>
      </c>
      <c r="C204" s="42">
        <v>14371.900390625</v>
      </c>
      <c r="D204" s="289">
        <f t="shared" si="6"/>
        <v>-1.4972171647596155E-2</v>
      </c>
      <c r="E204" s="289">
        <f t="shared" si="7"/>
        <v>-6.7090154704304832E-3</v>
      </c>
      <c r="F204" s="14"/>
      <c r="G204" s="14"/>
    </row>
    <row r="205" spans="1:7" ht="14.25" customHeight="1" x14ac:dyDescent="0.3">
      <c r="A205" s="41">
        <v>44221</v>
      </c>
      <c r="B205" s="42">
        <v>1361.30004882813</v>
      </c>
      <c r="C205" s="42">
        <v>14238.900390625</v>
      </c>
      <c r="D205" s="289">
        <f t="shared" si="6"/>
        <v>-9.2541693433081298E-3</v>
      </c>
      <c r="E205" s="289">
        <f t="shared" si="7"/>
        <v>-5.8727462899035084E-4</v>
      </c>
      <c r="F205" s="14"/>
      <c r="G205" s="14"/>
    </row>
    <row r="206" spans="1:7" ht="14.25" customHeight="1" x14ac:dyDescent="0.3">
      <c r="A206" s="41">
        <v>44223</v>
      </c>
      <c r="B206" s="42">
        <v>1359.84997558594</v>
      </c>
      <c r="C206" s="42">
        <v>13967.5</v>
      </c>
      <c r="D206" s="289">
        <f t="shared" si="6"/>
        <v>-1.9060488041878015E-2</v>
      </c>
      <c r="E206" s="289">
        <f t="shared" si="7"/>
        <v>-1.0652120694760066E-3</v>
      </c>
      <c r="F206" s="14"/>
      <c r="G206" s="14"/>
    </row>
    <row r="207" spans="1:7" ht="14.25" customHeight="1" x14ac:dyDescent="0.3">
      <c r="A207" s="41">
        <v>44224</v>
      </c>
      <c r="B207" s="42">
        <v>1345.34997558594</v>
      </c>
      <c r="C207" s="42">
        <v>13817.5498046875</v>
      </c>
      <c r="D207" s="289">
        <f t="shared" si="6"/>
        <v>-1.0735650281904421E-2</v>
      </c>
      <c r="E207" s="289">
        <f t="shared" si="7"/>
        <v>-1.0662940956962665E-2</v>
      </c>
      <c r="F207" s="14"/>
      <c r="G207" s="14"/>
    </row>
    <row r="208" spans="1:7" ht="14.25" customHeight="1" x14ac:dyDescent="0.3">
      <c r="A208" s="41">
        <v>44225</v>
      </c>
      <c r="B208" s="42">
        <v>1334.69995117188</v>
      </c>
      <c r="C208" s="42">
        <v>13634.599609375</v>
      </c>
      <c r="D208" s="289">
        <f t="shared" si="6"/>
        <v>-1.3240422354072899E-2</v>
      </c>
      <c r="E208" s="289">
        <f t="shared" si="7"/>
        <v>-7.9161739378793214E-3</v>
      </c>
      <c r="F208" s="14"/>
      <c r="G208" s="14"/>
    </row>
    <row r="209" spans="1:7" ht="14.25" customHeight="1" x14ac:dyDescent="0.3">
      <c r="A209" s="41">
        <v>44228</v>
      </c>
      <c r="B209" s="42">
        <v>1448.84997558594</v>
      </c>
      <c r="C209" s="42">
        <v>14281.2001953125</v>
      </c>
      <c r="D209" s="289">
        <f t="shared" si="6"/>
        <v>4.7423511101338432E-2</v>
      </c>
      <c r="E209" s="289">
        <f t="shared" si="7"/>
        <v>8.5524858462634343E-2</v>
      </c>
      <c r="F209" s="14"/>
      <c r="G209" s="14"/>
    </row>
    <row r="210" spans="1:7" ht="14.25" customHeight="1" x14ac:dyDescent="0.3">
      <c r="A210" s="41">
        <v>44229</v>
      </c>
      <c r="B210" s="42">
        <v>1520.19995117188</v>
      </c>
      <c r="C210" s="42">
        <v>14647.849609375</v>
      </c>
      <c r="D210" s="289">
        <f t="shared" si="6"/>
        <v>2.5673571481957438E-2</v>
      </c>
      <c r="E210" s="289">
        <f t="shared" si="7"/>
        <v>4.9245937666586102E-2</v>
      </c>
      <c r="F210" s="14"/>
      <c r="G210" s="14"/>
    </row>
    <row r="211" spans="1:7" ht="14.25" customHeight="1" x14ac:dyDescent="0.3">
      <c r="A211" s="41">
        <v>44230</v>
      </c>
      <c r="B211" s="42">
        <v>1528.55004882813</v>
      </c>
      <c r="C211" s="42">
        <v>14789.9501953125</v>
      </c>
      <c r="D211" s="289">
        <f t="shared" si="6"/>
        <v>9.7011226717232252E-3</v>
      </c>
      <c r="E211" s="289">
        <f t="shared" si="7"/>
        <v>5.4927627446725944E-3</v>
      </c>
      <c r="F211" s="14"/>
      <c r="G211" s="14"/>
    </row>
    <row r="212" spans="1:7" ht="14.25" customHeight="1" x14ac:dyDescent="0.3">
      <c r="A212" s="41">
        <v>44231</v>
      </c>
      <c r="B212" s="42">
        <v>1529.80004882813</v>
      </c>
      <c r="C212" s="42">
        <v>14895.650390625</v>
      </c>
      <c r="D212" s="289">
        <f t="shared" si="6"/>
        <v>7.146758029381358E-3</v>
      </c>
      <c r="E212" s="289">
        <f t="shared" si="7"/>
        <v>8.1776844726694968E-4</v>
      </c>
      <c r="F212" s="14"/>
      <c r="G212" s="14"/>
    </row>
    <row r="213" spans="1:7" ht="14.25" customHeight="1" x14ac:dyDescent="0.3">
      <c r="A213" s="41">
        <v>44232</v>
      </c>
      <c r="B213" s="42">
        <v>1516.5</v>
      </c>
      <c r="C213" s="42">
        <v>14924.25</v>
      </c>
      <c r="D213" s="289">
        <f t="shared" si="6"/>
        <v>1.919997356610892E-3</v>
      </c>
      <c r="E213" s="289">
        <f t="shared" si="7"/>
        <v>-8.6939785616546514E-3</v>
      </c>
      <c r="F213" s="14"/>
      <c r="G213" s="14"/>
    </row>
    <row r="214" spans="1:7" ht="14.25" customHeight="1" x14ac:dyDescent="0.3">
      <c r="A214" s="41">
        <v>44235</v>
      </c>
      <c r="B214" s="42">
        <v>1551.80004882813</v>
      </c>
      <c r="C214" s="42">
        <v>15115.7998046875</v>
      </c>
      <c r="D214" s="289">
        <f t="shared" si="6"/>
        <v>1.2834802732968156E-2</v>
      </c>
      <c r="E214" s="289">
        <f t="shared" si="7"/>
        <v>2.3277315415845698E-2</v>
      </c>
      <c r="F214" s="14"/>
      <c r="G214" s="14"/>
    </row>
    <row r="215" spans="1:7" ht="14.25" customHeight="1" x14ac:dyDescent="0.3">
      <c r="A215" s="41">
        <v>44236</v>
      </c>
      <c r="B215" s="42">
        <v>1566.44995117188</v>
      </c>
      <c r="C215" s="42">
        <v>15109.2998046875</v>
      </c>
      <c r="D215" s="289">
        <f t="shared" si="6"/>
        <v>-4.3001363368045607E-4</v>
      </c>
      <c r="E215" s="289">
        <f t="shared" si="7"/>
        <v>9.4405863402396081E-3</v>
      </c>
      <c r="F215" s="14"/>
      <c r="G215" s="14"/>
    </row>
    <row r="216" spans="1:7" ht="14.25" customHeight="1" x14ac:dyDescent="0.3">
      <c r="A216" s="41">
        <v>44237</v>
      </c>
      <c r="B216" s="42">
        <v>1552.84997558594</v>
      </c>
      <c r="C216" s="42">
        <v>15106.5</v>
      </c>
      <c r="D216" s="289">
        <f t="shared" si="6"/>
        <v>-1.8530340410820298E-4</v>
      </c>
      <c r="E216" s="289">
        <f t="shared" si="7"/>
        <v>-8.6820364581490124E-3</v>
      </c>
      <c r="F216" s="14"/>
      <c r="G216" s="14"/>
    </row>
    <row r="217" spans="1:7" ht="14.25" customHeight="1" x14ac:dyDescent="0.3">
      <c r="A217" s="41">
        <v>44238</v>
      </c>
      <c r="B217" s="42">
        <v>1530.5</v>
      </c>
      <c r="C217" s="42">
        <v>15173.2998046875</v>
      </c>
      <c r="D217" s="289">
        <f t="shared" si="6"/>
        <v>4.4219246475027309E-3</v>
      </c>
      <c r="E217" s="289">
        <f t="shared" si="7"/>
        <v>-1.439287499586471E-2</v>
      </c>
      <c r="F217" s="14"/>
      <c r="G217" s="14"/>
    </row>
    <row r="218" spans="1:7" ht="14.25" customHeight="1" x14ac:dyDescent="0.3">
      <c r="A218" s="41">
        <v>44239</v>
      </c>
      <c r="B218" s="42">
        <v>1521.34997558594</v>
      </c>
      <c r="C218" s="42">
        <v>15163.2998046875</v>
      </c>
      <c r="D218" s="289">
        <f t="shared" si="6"/>
        <v>-6.590524229219205E-4</v>
      </c>
      <c r="E218" s="289">
        <f t="shared" si="7"/>
        <v>-5.9784543705063697E-3</v>
      </c>
      <c r="F218" s="14"/>
      <c r="G218" s="14"/>
    </row>
    <row r="219" spans="1:7" ht="14.25" customHeight="1" x14ac:dyDescent="0.3">
      <c r="A219" s="41">
        <v>44242</v>
      </c>
      <c r="B219" s="42">
        <v>1537.65002441406</v>
      </c>
      <c r="C219" s="42">
        <v>15314.7001953125</v>
      </c>
      <c r="D219" s="289">
        <f t="shared" si="6"/>
        <v>9.984659841533761E-3</v>
      </c>
      <c r="E219" s="289">
        <f t="shared" si="7"/>
        <v>1.0714200604526989E-2</v>
      </c>
      <c r="F219" s="14"/>
      <c r="G219" s="14"/>
    </row>
    <row r="220" spans="1:7" ht="14.25" customHeight="1" x14ac:dyDescent="0.3">
      <c r="A220" s="41">
        <v>44243</v>
      </c>
      <c r="B220" s="42">
        <v>1549.44995117188</v>
      </c>
      <c r="C220" s="42">
        <v>15313.4501953125</v>
      </c>
      <c r="D220" s="289">
        <f t="shared" si="6"/>
        <v>-8.1620925258634719E-5</v>
      </c>
      <c r="E220" s="289">
        <f t="shared" si="7"/>
        <v>7.6740003059646211E-3</v>
      </c>
      <c r="F220" s="14"/>
      <c r="G220" s="14"/>
    </row>
    <row r="221" spans="1:7" ht="14.25" customHeight="1" x14ac:dyDescent="0.3">
      <c r="A221" s="41">
        <v>44244</v>
      </c>
      <c r="B221" s="42">
        <v>1548.34997558594</v>
      </c>
      <c r="C221" s="42">
        <v>15208.900390625</v>
      </c>
      <c r="D221" s="289">
        <f t="shared" si="6"/>
        <v>-6.8273186874309392E-3</v>
      </c>
      <c r="E221" s="289">
        <f t="shared" si="7"/>
        <v>-7.0991359553631758E-4</v>
      </c>
      <c r="F221" s="14"/>
      <c r="G221" s="14"/>
    </row>
    <row r="222" spans="1:7" ht="14.25" customHeight="1" x14ac:dyDescent="0.3">
      <c r="A222" s="41">
        <v>44245</v>
      </c>
      <c r="B222" s="42">
        <v>1524.59997558594</v>
      </c>
      <c r="C222" s="42">
        <v>15118.9501953125</v>
      </c>
      <c r="D222" s="289">
        <f t="shared" si="6"/>
        <v>-5.9143128695843573E-3</v>
      </c>
      <c r="E222" s="289">
        <f t="shared" si="7"/>
        <v>-1.5338909403226049E-2</v>
      </c>
      <c r="F222" s="14"/>
      <c r="G222" s="14"/>
    </row>
    <row r="223" spans="1:7" ht="14.25" customHeight="1" x14ac:dyDescent="0.3">
      <c r="A223" s="41">
        <v>44246</v>
      </c>
      <c r="B223" s="42">
        <v>1508.80004882813</v>
      </c>
      <c r="C223" s="42">
        <v>14981.75</v>
      </c>
      <c r="D223" s="289">
        <f t="shared" si="6"/>
        <v>-9.0747170630297962E-3</v>
      </c>
      <c r="E223" s="289">
        <f t="shared" si="7"/>
        <v>-1.0363326125423629E-2</v>
      </c>
      <c r="F223" s="14"/>
      <c r="G223" s="14"/>
    </row>
    <row r="224" spans="1:7" ht="14.25" customHeight="1" x14ac:dyDescent="0.3">
      <c r="A224" s="41">
        <v>44249</v>
      </c>
      <c r="B224" s="42">
        <v>1452.19995117188</v>
      </c>
      <c r="C224" s="42">
        <v>14675.7001953125</v>
      </c>
      <c r="D224" s="289">
        <f t="shared" si="6"/>
        <v>-2.0428174591586429E-2</v>
      </c>
      <c r="E224" s="289">
        <f t="shared" si="7"/>
        <v>-3.7513319077773583E-2</v>
      </c>
      <c r="F224" s="14"/>
      <c r="G224" s="14"/>
    </row>
    <row r="225" spans="1:7" ht="14.25" customHeight="1" x14ac:dyDescent="0.3">
      <c r="A225" s="41">
        <v>44250</v>
      </c>
      <c r="B225" s="42">
        <v>1486.30004882813</v>
      </c>
      <c r="C225" s="42">
        <v>14707.7998046875</v>
      </c>
      <c r="D225" s="289">
        <f t="shared" si="6"/>
        <v>2.1872625461000351E-3</v>
      </c>
      <c r="E225" s="289">
        <f t="shared" si="7"/>
        <v>2.3481682139386031E-2</v>
      </c>
      <c r="F225" s="14"/>
      <c r="G225" s="14"/>
    </row>
    <row r="226" spans="1:7" ht="14.25" customHeight="1" x14ac:dyDescent="0.3">
      <c r="A226" s="41">
        <v>44251</v>
      </c>
      <c r="B226" s="42">
        <v>1526.59997558594</v>
      </c>
      <c r="C226" s="42">
        <v>14982</v>
      </c>
      <c r="D226" s="289">
        <f t="shared" si="6"/>
        <v>1.8643182457862263E-2</v>
      </c>
      <c r="E226" s="289">
        <f t="shared" si="7"/>
        <v>2.7114260535471547E-2</v>
      </c>
      <c r="F226" s="14"/>
      <c r="G226" s="14"/>
    </row>
    <row r="227" spans="1:7" ht="14.25" customHeight="1" x14ac:dyDescent="0.3">
      <c r="A227" s="41">
        <v>44252</v>
      </c>
      <c r="B227" s="42">
        <v>1506.44995117188</v>
      </c>
      <c r="C227" s="42">
        <v>15097.349609375</v>
      </c>
      <c r="D227" s="289">
        <f t="shared" si="6"/>
        <v>7.6992130139500736E-3</v>
      </c>
      <c r="E227" s="289">
        <f t="shared" si="7"/>
        <v>-1.3199282547037911E-2</v>
      </c>
      <c r="F227" s="14"/>
      <c r="G227" s="14"/>
    </row>
    <row r="228" spans="1:7" ht="14.25" customHeight="1" x14ac:dyDescent="0.3">
      <c r="A228" s="41">
        <v>44253</v>
      </c>
      <c r="B228" s="42">
        <v>1442.5</v>
      </c>
      <c r="C228" s="42">
        <v>14529.150390625</v>
      </c>
      <c r="D228" s="289">
        <f t="shared" si="6"/>
        <v>-3.7635693247586012E-2</v>
      </c>
      <c r="E228" s="289">
        <f t="shared" si="7"/>
        <v>-4.2450763878436722E-2</v>
      </c>
      <c r="F228" s="14"/>
      <c r="G228" s="14"/>
    </row>
    <row r="229" spans="1:7" ht="14.25" customHeight="1" x14ac:dyDescent="0.3">
      <c r="A229" s="41">
        <v>44256</v>
      </c>
      <c r="B229" s="42">
        <v>1472.84997558594</v>
      </c>
      <c r="C229" s="42">
        <v>14761.5498046875</v>
      </c>
      <c r="D229" s="289">
        <f t="shared" si="6"/>
        <v>1.5995389118723471E-2</v>
      </c>
      <c r="E229" s="289">
        <f t="shared" si="7"/>
        <v>2.1039844426994803E-2</v>
      </c>
      <c r="F229" s="14"/>
      <c r="G229" s="14"/>
    </row>
    <row r="230" spans="1:7" ht="14.25" customHeight="1" x14ac:dyDescent="0.3">
      <c r="A230" s="41">
        <v>44257</v>
      </c>
      <c r="B230" s="42">
        <v>1485.65002441406</v>
      </c>
      <c r="C230" s="42">
        <v>14919.099609375</v>
      </c>
      <c r="D230" s="289">
        <f t="shared" si="6"/>
        <v>1.0672985341787783E-2</v>
      </c>
      <c r="E230" s="289">
        <f t="shared" si="7"/>
        <v>8.6906671013982865E-3</v>
      </c>
      <c r="F230" s="14"/>
      <c r="G230" s="14"/>
    </row>
    <row r="231" spans="1:7" ht="14.25" customHeight="1" x14ac:dyDescent="0.3">
      <c r="A231" s="41">
        <v>44258</v>
      </c>
      <c r="B231" s="42">
        <v>1496.90002441406</v>
      </c>
      <c r="C231" s="42">
        <v>15245.599609375</v>
      </c>
      <c r="D231" s="289">
        <f t="shared" si="6"/>
        <v>2.1884698711632098E-2</v>
      </c>
      <c r="E231" s="289">
        <f t="shared" si="7"/>
        <v>7.5724429139608414E-3</v>
      </c>
      <c r="F231" s="14"/>
      <c r="G231" s="14"/>
    </row>
    <row r="232" spans="1:7" ht="14.25" customHeight="1" x14ac:dyDescent="0.3">
      <c r="A232" s="41">
        <v>44259</v>
      </c>
      <c r="B232" s="42">
        <v>1462.59997558594</v>
      </c>
      <c r="C232" s="42">
        <v>15080.75</v>
      </c>
      <c r="D232" s="289">
        <f t="shared" si="6"/>
        <v>-1.0812930524138177E-2</v>
      </c>
      <c r="E232" s="289">
        <f t="shared" si="7"/>
        <v>-2.2914054558550934E-2</v>
      </c>
      <c r="F232" s="14"/>
      <c r="G232" s="14"/>
    </row>
    <row r="233" spans="1:7" ht="14.25" customHeight="1" x14ac:dyDescent="0.3">
      <c r="A233" s="41">
        <v>44260</v>
      </c>
      <c r="B233" s="42">
        <v>1463.55004882813</v>
      </c>
      <c r="C233" s="42">
        <v>14938.099609375</v>
      </c>
      <c r="D233" s="289">
        <f t="shared" si="6"/>
        <v>-9.4591045289524733E-3</v>
      </c>
      <c r="E233" s="289">
        <f t="shared" si="7"/>
        <v>6.4957832493425772E-4</v>
      </c>
      <c r="F233" s="14"/>
      <c r="G233" s="14"/>
    </row>
    <row r="234" spans="1:7" ht="14.25" customHeight="1" x14ac:dyDescent="0.3">
      <c r="A234" s="41">
        <v>44263</v>
      </c>
      <c r="B234" s="42">
        <v>1515.19995117188</v>
      </c>
      <c r="C234" s="42">
        <v>14956.2001953125</v>
      </c>
      <c r="D234" s="289">
        <f t="shared" si="6"/>
        <v>1.2117060677611399E-3</v>
      </c>
      <c r="E234" s="289">
        <f t="shared" si="7"/>
        <v>3.5290834355207919E-2</v>
      </c>
      <c r="F234" s="14"/>
      <c r="G234" s="14"/>
    </row>
    <row r="235" spans="1:7" ht="14.25" customHeight="1" x14ac:dyDescent="0.3">
      <c r="A235" s="41">
        <v>44264</v>
      </c>
      <c r="B235" s="42">
        <v>1508.30004882813</v>
      </c>
      <c r="C235" s="42">
        <v>15098.400390625</v>
      </c>
      <c r="D235" s="289">
        <f t="shared" si="6"/>
        <v>9.5077756017914027E-3</v>
      </c>
      <c r="E235" s="289">
        <f t="shared" si="7"/>
        <v>-4.5537899723488671E-3</v>
      </c>
      <c r="F235" s="14"/>
      <c r="G235" s="14"/>
    </row>
    <row r="236" spans="1:7" ht="14.25" customHeight="1" x14ac:dyDescent="0.3">
      <c r="A236" s="41">
        <v>44265</v>
      </c>
      <c r="B236" s="42">
        <v>1524.19995117188</v>
      </c>
      <c r="C236" s="42">
        <v>15174.7998046875</v>
      </c>
      <c r="D236" s="289">
        <f t="shared" si="6"/>
        <v>5.0600998838220262E-3</v>
      </c>
      <c r="E236" s="289">
        <f t="shared" si="7"/>
        <v>1.0541604341989771E-2</v>
      </c>
      <c r="F236" s="14"/>
      <c r="G236" s="14"/>
    </row>
    <row r="237" spans="1:7" ht="14.25" customHeight="1" x14ac:dyDescent="0.3">
      <c r="A237" s="41">
        <v>44267</v>
      </c>
      <c r="B237" s="42">
        <v>1514</v>
      </c>
      <c r="C237" s="42">
        <v>15030.9501953125</v>
      </c>
      <c r="D237" s="289">
        <f t="shared" si="6"/>
        <v>-9.4795062357636382E-3</v>
      </c>
      <c r="E237" s="289">
        <f t="shared" si="7"/>
        <v>-6.6920033451239634E-3</v>
      </c>
      <c r="F237" s="14"/>
      <c r="G237" s="14"/>
    </row>
    <row r="238" spans="1:7" ht="14.25" customHeight="1" x14ac:dyDescent="0.3">
      <c r="A238" s="41">
        <v>44270</v>
      </c>
      <c r="B238" s="42">
        <v>1483.75</v>
      </c>
      <c r="C238" s="42">
        <v>14929.5</v>
      </c>
      <c r="D238" s="289">
        <f t="shared" si="6"/>
        <v>-6.7494199630930788E-3</v>
      </c>
      <c r="E238" s="289">
        <f t="shared" si="7"/>
        <v>-1.9980184940554823E-2</v>
      </c>
      <c r="F238" s="14"/>
      <c r="G238" s="14"/>
    </row>
    <row r="239" spans="1:7" ht="14.25" customHeight="1" x14ac:dyDescent="0.3">
      <c r="A239" s="41">
        <v>44271</v>
      </c>
      <c r="B239" s="42">
        <v>1461.80004882813</v>
      </c>
      <c r="C239" s="42">
        <v>14910.4501953125</v>
      </c>
      <c r="D239" s="289">
        <f t="shared" si="6"/>
        <v>-1.2759841044576174E-3</v>
      </c>
      <c r="E239" s="289">
        <f t="shared" si="7"/>
        <v>-1.479356439553159E-2</v>
      </c>
      <c r="F239" s="14"/>
      <c r="G239" s="14"/>
    </row>
    <row r="240" spans="1:7" ht="14.25" customHeight="1" x14ac:dyDescent="0.3">
      <c r="A240" s="41">
        <v>44272</v>
      </c>
      <c r="B240" s="42">
        <v>1437.65002441406</v>
      </c>
      <c r="C240" s="42">
        <v>14721.2998046875</v>
      </c>
      <c r="D240" s="289">
        <f t="shared" si="6"/>
        <v>-1.2685759862868828E-2</v>
      </c>
      <c r="E240" s="289">
        <f t="shared" si="7"/>
        <v>-1.6520744019286472E-2</v>
      </c>
      <c r="F240" s="14"/>
      <c r="G240" s="14"/>
    </row>
    <row r="241" spans="1:7" ht="14.25" customHeight="1" x14ac:dyDescent="0.3">
      <c r="A241" s="41">
        <v>44273</v>
      </c>
      <c r="B241" s="42">
        <v>1428.09997558594</v>
      </c>
      <c r="C241" s="42">
        <v>14557.849609375</v>
      </c>
      <c r="D241" s="289">
        <f t="shared" si="6"/>
        <v>-1.1102973071742945E-2</v>
      </c>
      <c r="E241" s="289">
        <f t="shared" si="7"/>
        <v>-6.6428189517210847E-3</v>
      </c>
      <c r="F241" s="14"/>
      <c r="G241" s="14"/>
    </row>
    <row r="242" spans="1:7" ht="14.25" customHeight="1" x14ac:dyDescent="0.3">
      <c r="A242" s="41">
        <v>44274</v>
      </c>
      <c r="B242" s="42">
        <v>1411.25</v>
      </c>
      <c r="C242" s="42">
        <v>14744</v>
      </c>
      <c r="D242" s="289">
        <f t="shared" si="6"/>
        <v>1.2786942826028538E-2</v>
      </c>
      <c r="E242" s="289">
        <f t="shared" si="7"/>
        <v>-1.1798876741123511E-2</v>
      </c>
      <c r="F242" s="14"/>
      <c r="G242" s="14"/>
    </row>
    <row r="243" spans="1:7" ht="14.25" customHeight="1" x14ac:dyDescent="0.3">
      <c r="A243" s="41">
        <v>44277</v>
      </c>
      <c r="B243" s="42">
        <v>1400.05004882813</v>
      </c>
      <c r="C243" s="42">
        <v>14736.400390625</v>
      </c>
      <c r="D243" s="289">
        <f t="shared" si="6"/>
        <v>-5.1543742369777532E-4</v>
      </c>
      <c r="E243" s="289">
        <f t="shared" si="7"/>
        <v>-7.9361921501293169E-3</v>
      </c>
      <c r="F243" s="14"/>
      <c r="G243" s="14"/>
    </row>
    <row r="244" spans="1:7" ht="14.25" customHeight="1" x14ac:dyDescent="0.3">
      <c r="A244" s="41">
        <v>44278</v>
      </c>
      <c r="B244" s="42">
        <v>1404.34997558594</v>
      </c>
      <c r="C244" s="42">
        <v>14814.75</v>
      </c>
      <c r="D244" s="289">
        <f t="shared" si="6"/>
        <v>5.3167399974314239E-3</v>
      </c>
      <c r="E244" s="289">
        <f t="shared" si="7"/>
        <v>3.0712664603734161E-3</v>
      </c>
      <c r="F244" s="14"/>
      <c r="G244" s="14"/>
    </row>
    <row r="245" spans="1:7" ht="14.25" customHeight="1" x14ac:dyDescent="0.3">
      <c r="A245" s="41">
        <v>44279</v>
      </c>
      <c r="B245" s="42">
        <v>1369.15002441406</v>
      </c>
      <c r="C245" s="42">
        <v>14549.400390625</v>
      </c>
      <c r="D245" s="289">
        <f t="shared" si="6"/>
        <v>-1.7911176994211849E-2</v>
      </c>
      <c r="E245" s="289">
        <f t="shared" si="7"/>
        <v>-2.5064942346150896E-2</v>
      </c>
      <c r="F245" s="14"/>
      <c r="G245" s="14"/>
    </row>
    <row r="246" spans="1:7" ht="14.25" customHeight="1" x14ac:dyDescent="0.3">
      <c r="A246" s="41">
        <v>44280</v>
      </c>
      <c r="B246" s="42">
        <v>1371.09997558594</v>
      </c>
      <c r="C246" s="42">
        <v>14324.900390625</v>
      </c>
      <c r="D246" s="289">
        <f t="shared" si="6"/>
        <v>-1.5430189146808966E-2</v>
      </c>
      <c r="E246" s="289">
        <f t="shared" si="7"/>
        <v>1.4242056291197901E-3</v>
      </c>
      <c r="F246" s="14"/>
      <c r="G246" s="14"/>
    </row>
    <row r="247" spans="1:7" ht="14.25" customHeight="1" x14ac:dyDescent="0.3">
      <c r="A247" s="41">
        <v>44281</v>
      </c>
      <c r="B247" s="42">
        <v>1398.30004882813</v>
      </c>
      <c r="C247" s="42">
        <v>14507.2998046875</v>
      </c>
      <c r="D247" s="289">
        <f t="shared" si="6"/>
        <v>1.2733031929623202E-2</v>
      </c>
      <c r="E247" s="289">
        <f t="shared" si="7"/>
        <v>1.9838139979957363E-2</v>
      </c>
      <c r="F247" s="14"/>
      <c r="G247" s="14"/>
    </row>
    <row r="248" spans="1:7" ht="14.25" customHeight="1" x14ac:dyDescent="0.3">
      <c r="A248" s="41">
        <v>44285</v>
      </c>
      <c r="B248" s="42">
        <v>1423.55004882813</v>
      </c>
      <c r="C248" s="42">
        <v>14845.099609375</v>
      </c>
      <c r="D248" s="289">
        <f t="shared" si="6"/>
        <v>2.3284815867550514E-2</v>
      </c>
      <c r="E248" s="289">
        <f t="shared" si="7"/>
        <v>1.8057640791160099E-2</v>
      </c>
      <c r="F248" s="14"/>
      <c r="G248" s="14"/>
    </row>
    <row r="249" spans="1:7" ht="14.25" customHeight="1" x14ac:dyDescent="0.3">
      <c r="A249" s="41">
        <v>44286</v>
      </c>
      <c r="B249" s="42">
        <v>1418.90002441406</v>
      </c>
      <c r="C249" s="42">
        <v>14690.7001953125</v>
      </c>
      <c r="D249" s="289">
        <f t="shared" si="6"/>
        <v>-1.0400699094332345E-2</v>
      </c>
      <c r="E249" s="289">
        <f t="shared" si="7"/>
        <v>-3.2664987212061248E-3</v>
      </c>
      <c r="F249" s="14"/>
      <c r="G249" s="14"/>
    </row>
    <row r="250" spans="1:7" ht="14.25" customHeight="1" x14ac:dyDescent="0.3">
      <c r="A250" s="41">
        <v>44287</v>
      </c>
      <c r="B250" s="42">
        <v>1444.59997558594</v>
      </c>
      <c r="C250" s="42">
        <v>14867.349609375</v>
      </c>
      <c r="D250" s="289">
        <f t="shared" si="6"/>
        <v>1.2024574166918552E-2</v>
      </c>
      <c r="E250" s="289">
        <f t="shared" si="7"/>
        <v>1.8112587729704841E-2</v>
      </c>
      <c r="F250" s="14"/>
      <c r="G250" s="14"/>
    </row>
    <row r="251" spans="1:7" ht="14.25" customHeight="1" x14ac:dyDescent="0.3">
      <c r="A251" s="41">
        <v>44291</v>
      </c>
      <c r="B251" s="42">
        <v>1403.80004882813</v>
      </c>
      <c r="C251" s="42">
        <v>14637.7998046875</v>
      </c>
      <c r="D251" s="289">
        <f t="shared" si="6"/>
        <v>-1.5439860548026079E-2</v>
      </c>
      <c r="E251" s="289">
        <f t="shared" si="7"/>
        <v>-2.8243062056858514E-2</v>
      </c>
      <c r="F251" s="14"/>
      <c r="G251" s="14"/>
    </row>
    <row r="252" spans="1:7" ht="14.25" customHeight="1" x14ac:dyDescent="0.3">
      <c r="A252" s="41">
        <v>44292</v>
      </c>
      <c r="B252" s="42">
        <v>1401</v>
      </c>
      <c r="C252" s="42">
        <v>14683.5</v>
      </c>
      <c r="D252" s="289">
        <f t="shared" si="6"/>
        <v>3.1220672452334885E-3</v>
      </c>
      <c r="E252" s="289">
        <f t="shared" si="7"/>
        <v>-1.9946208368260411E-3</v>
      </c>
      <c r="F252" s="14"/>
      <c r="G252" s="14"/>
    </row>
    <row r="253" spans="1:7" ht="14.25" customHeight="1" x14ac:dyDescent="0.3">
      <c r="A253" s="41">
        <v>44293</v>
      </c>
      <c r="B253" s="42">
        <v>1404.15002441406</v>
      </c>
      <c r="C253" s="42">
        <v>14819.0498046875</v>
      </c>
      <c r="D253" s="289">
        <f t="shared" si="6"/>
        <v>9.231436965811966E-3</v>
      </c>
      <c r="E253" s="289">
        <f t="shared" si="7"/>
        <v>2.2484114304496781E-3</v>
      </c>
      <c r="F253" s="14"/>
      <c r="G253" s="14"/>
    </row>
    <row r="254" spans="1:7" ht="14.25" customHeight="1" x14ac:dyDescent="0.3">
      <c r="A254" s="41">
        <v>44294</v>
      </c>
      <c r="B254" s="42">
        <v>1419.15002441406</v>
      </c>
      <c r="C254" s="42">
        <v>14873.7998046875</v>
      </c>
      <c r="D254" s="289">
        <f t="shared" si="6"/>
        <v>3.6945688638337464E-3</v>
      </c>
      <c r="E254" s="289">
        <f t="shared" si="7"/>
        <v>1.0682619192532062E-2</v>
      </c>
      <c r="F254" s="14"/>
      <c r="G254" s="14"/>
    </row>
    <row r="255" spans="1:7" ht="14.25" customHeight="1" x14ac:dyDescent="0.3">
      <c r="A255" s="41">
        <v>44295</v>
      </c>
      <c r="B255" s="42">
        <v>1404.09997558594</v>
      </c>
      <c r="C255" s="42">
        <v>14834.849609375</v>
      </c>
      <c r="D255" s="289">
        <f t="shared" si="6"/>
        <v>-2.6187118170183242E-3</v>
      </c>
      <c r="E255" s="289">
        <f t="shared" si="7"/>
        <v>-1.0604973800662039E-2</v>
      </c>
      <c r="F255" s="14"/>
      <c r="G255" s="14"/>
    </row>
    <row r="256" spans="1:7" ht="14.25" customHeight="1" x14ac:dyDescent="0.3">
      <c r="A256" s="41">
        <v>44298</v>
      </c>
      <c r="B256" s="42">
        <v>1345.15002441406</v>
      </c>
      <c r="C256" s="42">
        <v>14310.7998046875</v>
      </c>
      <c r="D256" s="289">
        <f t="shared" si="6"/>
        <v>-3.5325589304007678E-2</v>
      </c>
      <c r="E256" s="289">
        <f t="shared" si="7"/>
        <v>-4.1984155114937458E-2</v>
      </c>
      <c r="F256" s="14"/>
      <c r="G256" s="14"/>
    </row>
    <row r="257" spans="1:7" ht="14.25" customHeight="1" x14ac:dyDescent="0.3">
      <c r="A257" s="41">
        <v>44299</v>
      </c>
      <c r="B257" s="42">
        <v>1373.69995117188</v>
      </c>
      <c r="C257" s="42">
        <v>14504.7998046875</v>
      </c>
      <c r="D257" s="289">
        <f t="shared" si="6"/>
        <v>1.3556195506030022E-2</v>
      </c>
      <c r="E257" s="289">
        <f t="shared" si="7"/>
        <v>2.1224343931641524E-2</v>
      </c>
      <c r="F257" s="14"/>
      <c r="G257" s="14"/>
    </row>
    <row r="258" spans="1:7" ht="14.25" customHeight="1" x14ac:dyDescent="0.3">
      <c r="A258" s="41">
        <v>44301</v>
      </c>
      <c r="B258" s="42">
        <v>1374.65002441406</v>
      </c>
      <c r="C258" s="42">
        <v>14581.4501953125</v>
      </c>
      <c r="D258" s="289">
        <f t="shared" si="6"/>
        <v>5.2844845607747703E-3</v>
      </c>
      <c r="E258" s="289">
        <f t="shared" si="7"/>
        <v>6.9161627425953201E-4</v>
      </c>
      <c r="F258" s="14"/>
      <c r="G258" s="14"/>
    </row>
    <row r="259" spans="1:7" ht="14.25" customHeight="1" x14ac:dyDescent="0.3">
      <c r="A259" s="41">
        <v>44302</v>
      </c>
      <c r="B259" s="42">
        <v>1359.15002441406</v>
      </c>
      <c r="C259" s="42">
        <v>14617.849609375</v>
      </c>
      <c r="D259" s="289">
        <f t="shared" ref="D259:D322" si="8">(C259-C258)/C258</f>
        <v>2.4962821650072447E-3</v>
      </c>
      <c r="E259" s="289">
        <f t="shared" ref="E259:E322" si="9">(B259-B258)/B258</f>
        <v>-1.127559722454217E-2</v>
      </c>
      <c r="F259" s="14"/>
      <c r="G259" s="14"/>
    </row>
    <row r="260" spans="1:7" ht="14.25" customHeight="1" x14ac:dyDescent="0.3">
      <c r="A260" s="41">
        <v>44305</v>
      </c>
      <c r="B260" s="42">
        <v>1310.44995117188</v>
      </c>
      <c r="C260" s="42">
        <v>14359.4501953125</v>
      </c>
      <c r="D260" s="289">
        <f t="shared" si="8"/>
        <v>-1.7676978554819603E-2</v>
      </c>
      <c r="E260" s="289">
        <f t="shared" si="9"/>
        <v>-3.5831271285283586E-2</v>
      </c>
      <c r="F260" s="14"/>
      <c r="G260" s="14"/>
    </row>
    <row r="261" spans="1:7" ht="14.25" customHeight="1" x14ac:dyDescent="0.3">
      <c r="A261" s="41">
        <v>44306</v>
      </c>
      <c r="B261" s="42">
        <v>1331.5</v>
      </c>
      <c r="C261" s="42">
        <v>14296.400390625</v>
      </c>
      <c r="D261" s="289">
        <f t="shared" si="8"/>
        <v>-4.390823034999069E-3</v>
      </c>
      <c r="E261" s="289">
        <f t="shared" si="9"/>
        <v>1.6063222261404053E-2</v>
      </c>
      <c r="F261" s="14"/>
      <c r="G261" s="14"/>
    </row>
    <row r="262" spans="1:7" ht="14.25" customHeight="1" x14ac:dyDescent="0.3">
      <c r="A262" s="41">
        <v>44308</v>
      </c>
      <c r="B262" s="42">
        <v>1336.80004882813</v>
      </c>
      <c r="C262" s="42">
        <v>14406.150390625</v>
      </c>
      <c r="D262" s="289">
        <f t="shared" si="8"/>
        <v>7.6767575754222439E-3</v>
      </c>
      <c r="E262" s="289">
        <f t="shared" si="9"/>
        <v>3.9805098221028928E-3</v>
      </c>
      <c r="F262" s="14"/>
      <c r="G262" s="14"/>
    </row>
    <row r="263" spans="1:7" ht="14.25" customHeight="1" x14ac:dyDescent="0.3">
      <c r="A263" s="41">
        <v>44309</v>
      </c>
      <c r="B263" s="42">
        <v>1322.90002441406</v>
      </c>
      <c r="C263" s="42">
        <v>14341.349609375</v>
      </c>
      <c r="D263" s="289">
        <f t="shared" si="8"/>
        <v>-4.4981330537941623E-3</v>
      </c>
      <c r="E263" s="289">
        <f t="shared" si="9"/>
        <v>-1.0397983173515805E-2</v>
      </c>
      <c r="F263" s="14"/>
      <c r="G263" s="14"/>
    </row>
    <row r="264" spans="1:7" ht="14.25" customHeight="1" x14ac:dyDescent="0.3">
      <c r="A264" s="41">
        <v>44312</v>
      </c>
      <c r="B264" s="42">
        <v>1335.90002441406</v>
      </c>
      <c r="C264" s="42">
        <v>14485</v>
      </c>
      <c r="D264" s="289">
        <f t="shared" si="8"/>
        <v>1.001651828716979E-2</v>
      </c>
      <c r="E264" s="289">
        <f t="shared" si="9"/>
        <v>9.826895275595729E-3</v>
      </c>
      <c r="F264" s="14"/>
      <c r="G264" s="14"/>
    </row>
    <row r="265" spans="1:7" ht="14.25" customHeight="1" x14ac:dyDescent="0.3">
      <c r="A265" s="41">
        <v>44313</v>
      </c>
      <c r="B265" s="42">
        <v>1380.65002441406</v>
      </c>
      <c r="C265" s="42">
        <v>14653.0498046875</v>
      </c>
      <c r="D265" s="289">
        <f t="shared" si="8"/>
        <v>1.1601643402657923E-2</v>
      </c>
      <c r="E265" s="289">
        <f t="shared" si="9"/>
        <v>3.3498015706398258E-2</v>
      </c>
      <c r="F265" s="14"/>
      <c r="G265" s="14"/>
    </row>
    <row r="266" spans="1:7" ht="14.25" customHeight="1" x14ac:dyDescent="0.3">
      <c r="A266" s="41">
        <v>44314</v>
      </c>
      <c r="B266" s="42">
        <v>1375.90002441406</v>
      </c>
      <c r="C266" s="42">
        <v>14864.5498046875</v>
      </c>
      <c r="D266" s="289">
        <f t="shared" si="8"/>
        <v>1.4433855260107101E-2</v>
      </c>
      <c r="E266" s="289">
        <f t="shared" si="9"/>
        <v>-3.4404084424044194E-3</v>
      </c>
      <c r="F266" s="14"/>
      <c r="G266" s="14"/>
    </row>
    <row r="267" spans="1:7" ht="14.25" customHeight="1" x14ac:dyDescent="0.3">
      <c r="A267" s="41">
        <v>44315</v>
      </c>
      <c r="B267" s="42">
        <v>1358.65002441406</v>
      </c>
      <c r="C267" s="42">
        <v>14894.900390625</v>
      </c>
      <c r="D267" s="289">
        <f t="shared" si="8"/>
        <v>2.0418099664161384E-3</v>
      </c>
      <c r="E267" s="289">
        <f t="shared" si="9"/>
        <v>-1.2537248124075058E-2</v>
      </c>
      <c r="F267" s="14"/>
      <c r="G267" s="14"/>
    </row>
    <row r="268" spans="1:7" ht="14.25" customHeight="1" x14ac:dyDescent="0.3">
      <c r="A268" s="41">
        <v>44316</v>
      </c>
      <c r="B268" s="42">
        <v>1340.44995117188</v>
      </c>
      <c r="C268" s="42">
        <v>14631.099609375</v>
      </c>
      <c r="D268" s="289">
        <f t="shared" si="8"/>
        <v>-1.7710812045177479E-2</v>
      </c>
      <c r="E268" s="289">
        <f t="shared" si="9"/>
        <v>-1.3395703761186826E-2</v>
      </c>
      <c r="F268" s="14"/>
      <c r="G268" s="14"/>
    </row>
    <row r="269" spans="1:7" ht="14.25" customHeight="1" x14ac:dyDescent="0.3">
      <c r="A269" s="41">
        <v>44319</v>
      </c>
      <c r="B269" s="42">
        <v>1342.5</v>
      </c>
      <c r="C269" s="42">
        <v>14634.150390625</v>
      </c>
      <c r="D269" s="289">
        <f t="shared" si="8"/>
        <v>2.0851346320171222E-4</v>
      </c>
      <c r="E269" s="289">
        <f t="shared" si="9"/>
        <v>1.5293736452657225E-3</v>
      </c>
      <c r="F269" s="14"/>
      <c r="G269" s="14"/>
    </row>
    <row r="270" spans="1:7" ht="14.25" customHeight="1" x14ac:dyDescent="0.3">
      <c r="A270" s="41">
        <v>44320</v>
      </c>
      <c r="B270" s="42">
        <v>1337.59997558594</v>
      </c>
      <c r="C270" s="42">
        <v>14496.5</v>
      </c>
      <c r="D270" s="289">
        <f t="shared" si="8"/>
        <v>-9.4061074234403283E-3</v>
      </c>
      <c r="E270" s="289">
        <f t="shared" si="9"/>
        <v>-3.6499250756499061E-3</v>
      </c>
      <c r="F270" s="14"/>
      <c r="G270" s="14"/>
    </row>
    <row r="271" spans="1:7" ht="14.25" customHeight="1" x14ac:dyDescent="0.3">
      <c r="A271" s="41">
        <v>44321</v>
      </c>
      <c r="B271" s="42">
        <v>1338.65002441406</v>
      </c>
      <c r="C271" s="42">
        <v>14617.849609375</v>
      </c>
      <c r="D271" s="289">
        <f t="shared" si="8"/>
        <v>8.3709591539337085E-3</v>
      </c>
      <c r="E271" s="289">
        <f t="shared" si="9"/>
        <v>7.8502455688220273E-4</v>
      </c>
      <c r="F271" s="14"/>
      <c r="G271" s="14"/>
    </row>
    <row r="272" spans="1:7" ht="14.25" customHeight="1" x14ac:dyDescent="0.3">
      <c r="A272" s="41">
        <v>44322</v>
      </c>
      <c r="B272" s="42">
        <v>1339.90002441406</v>
      </c>
      <c r="C272" s="42">
        <v>14724.7998046875</v>
      </c>
      <c r="D272" s="289">
        <f t="shared" si="8"/>
        <v>7.3164109749705355E-3</v>
      </c>
      <c r="E272" s="289">
        <f t="shared" si="9"/>
        <v>9.3377654891325088E-4</v>
      </c>
      <c r="F272" s="14"/>
      <c r="G272" s="14"/>
    </row>
    <row r="273" spans="1:7" ht="14.25" customHeight="1" x14ac:dyDescent="0.3">
      <c r="A273" s="41">
        <v>44323</v>
      </c>
      <c r="B273" s="42">
        <v>1342.69995117188</v>
      </c>
      <c r="C273" s="42">
        <v>14823.150390625</v>
      </c>
      <c r="D273" s="289">
        <f t="shared" si="8"/>
        <v>6.6792477481555316E-3</v>
      </c>
      <c r="E273" s="289">
        <f t="shared" si="9"/>
        <v>2.0896534866804073E-3</v>
      </c>
      <c r="F273" s="14"/>
      <c r="G273" s="14"/>
    </row>
    <row r="274" spans="1:7" ht="14.25" customHeight="1" x14ac:dyDescent="0.3">
      <c r="A274" s="41">
        <v>44326</v>
      </c>
      <c r="B274" s="42">
        <v>1395</v>
      </c>
      <c r="C274" s="42">
        <v>14942.349609375</v>
      </c>
      <c r="D274" s="289">
        <f t="shared" si="8"/>
        <v>8.041422748121637E-3</v>
      </c>
      <c r="E274" s="289">
        <f t="shared" si="9"/>
        <v>3.8951404431402284E-2</v>
      </c>
      <c r="F274" s="14"/>
      <c r="G274" s="14"/>
    </row>
    <row r="275" spans="1:7" ht="14.25" customHeight="1" x14ac:dyDescent="0.3">
      <c r="A275" s="41">
        <v>44327</v>
      </c>
      <c r="B275" s="42">
        <v>1383.59997558594</v>
      </c>
      <c r="C275" s="42">
        <v>14850.75</v>
      </c>
      <c r="D275" s="289">
        <f t="shared" si="8"/>
        <v>-6.1302011912189071E-3</v>
      </c>
      <c r="E275" s="289">
        <f t="shared" si="9"/>
        <v>-8.1720605118709676E-3</v>
      </c>
      <c r="F275" s="14"/>
      <c r="G275" s="14"/>
    </row>
    <row r="276" spans="1:7" ht="14.25" customHeight="1" x14ac:dyDescent="0.3">
      <c r="A276" s="41">
        <v>44328</v>
      </c>
      <c r="B276" s="42">
        <v>1385.30004882813</v>
      </c>
      <c r="C276" s="42">
        <v>14696.5</v>
      </c>
      <c r="D276" s="289">
        <f t="shared" si="8"/>
        <v>-1.0386680807366631E-2</v>
      </c>
      <c r="E276" s="289">
        <f t="shared" si="9"/>
        <v>1.2287317665425933E-3</v>
      </c>
      <c r="F276" s="14"/>
      <c r="G276" s="14"/>
    </row>
    <row r="277" spans="1:7" ht="14.25" customHeight="1" x14ac:dyDescent="0.3">
      <c r="A277" s="41">
        <v>44330</v>
      </c>
      <c r="B277" s="42">
        <v>1415.5</v>
      </c>
      <c r="C277" s="42">
        <v>14677.7998046875</v>
      </c>
      <c r="D277" s="289">
        <f t="shared" si="8"/>
        <v>-1.2724250884564353E-3</v>
      </c>
      <c r="E277" s="289">
        <f t="shared" si="9"/>
        <v>2.1800296042302974E-2</v>
      </c>
      <c r="F277" s="14"/>
      <c r="G277" s="14"/>
    </row>
    <row r="278" spans="1:7" ht="14.25" customHeight="1" x14ac:dyDescent="0.3">
      <c r="A278" s="41">
        <v>44333</v>
      </c>
      <c r="B278" s="42">
        <v>1386.75</v>
      </c>
      <c r="C278" s="42">
        <v>14923.150390625</v>
      </c>
      <c r="D278" s="289">
        <f t="shared" si="8"/>
        <v>1.6715760481972569E-2</v>
      </c>
      <c r="E278" s="289">
        <f t="shared" si="9"/>
        <v>-2.0310844224655598E-2</v>
      </c>
      <c r="F278" s="14"/>
      <c r="G278" s="14"/>
    </row>
    <row r="279" spans="1:7" ht="14.25" customHeight="1" x14ac:dyDescent="0.3">
      <c r="A279" s="41">
        <v>44334</v>
      </c>
      <c r="B279" s="42">
        <v>1417.30004882813</v>
      </c>
      <c r="C279" s="42">
        <v>15108.099609375</v>
      </c>
      <c r="D279" s="289">
        <f t="shared" si="8"/>
        <v>1.239344333527514E-2</v>
      </c>
      <c r="E279" s="289">
        <f t="shared" si="9"/>
        <v>2.2029961296650444E-2</v>
      </c>
      <c r="F279" s="14"/>
      <c r="G279" s="14"/>
    </row>
    <row r="280" spans="1:7" ht="14.25" customHeight="1" x14ac:dyDescent="0.3">
      <c r="A280" s="41">
        <v>44335</v>
      </c>
      <c r="B280" s="42">
        <v>1403.44995117188</v>
      </c>
      <c r="C280" s="42">
        <v>15030.150390625</v>
      </c>
      <c r="D280" s="289">
        <f t="shared" si="8"/>
        <v>-5.1594324081388979E-3</v>
      </c>
      <c r="E280" s="289">
        <f t="shared" si="9"/>
        <v>-9.7721704502174486E-3</v>
      </c>
      <c r="F280" s="14"/>
      <c r="G280" s="14"/>
    </row>
    <row r="281" spans="1:7" ht="14.25" customHeight="1" x14ac:dyDescent="0.3">
      <c r="A281" s="41">
        <v>44336</v>
      </c>
      <c r="B281" s="42">
        <v>1409.75</v>
      </c>
      <c r="C281" s="42">
        <v>14906.0498046875</v>
      </c>
      <c r="D281" s="289">
        <f t="shared" si="8"/>
        <v>-8.2567760609306533E-3</v>
      </c>
      <c r="E281" s="289">
        <f t="shared" si="9"/>
        <v>4.4889729219481323E-3</v>
      </c>
      <c r="F281" s="14"/>
      <c r="G281" s="14"/>
    </row>
    <row r="282" spans="1:7" ht="14.25" customHeight="1" x14ac:dyDescent="0.3">
      <c r="A282" s="41">
        <v>44337</v>
      </c>
      <c r="B282" s="42">
        <v>1418.05004882813</v>
      </c>
      <c r="C282" s="42">
        <v>15175.2998046875</v>
      </c>
      <c r="D282" s="289">
        <f t="shared" si="8"/>
        <v>1.8063135674974671E-2</v>
      </c>
      <c r="E282" s="289">
        <f t="shared" si="9"/>
        <v>5.8876033538783484E-3</v>
      </c>
      <c r="F282" s="14"/>
      <c r="G282" s="14"/>
    </row>
    <row r="283" spans="1:7" ht="14.25" customHeight="1" x14ac:dyDescent="0.3">
      <c r="A283" s="41">
        <v>44340</v>
      </c>
      <c r="B283" s="42">
        <v>1443.25</v>
      </c>
      <c r="C283" s="42">
        <v>15197.7001953125</v>
      </c>
      <c r="D283" s="289">
        <f t="shared" si="8"/>
        <v>1.4761086049898495E-3</v>
      </c>
      <c r="E283" s="289">
        <f t="shared" si="9"/>
        <v>1.7770847504779624E-2</v>
      </c>
      <c r="F283" s="14"/>
      <c r="G283" s="14"/>
    </row>
    <row r="284" spans="1:7" ht="14.25" customHeight="1" x14ac:dyDescent="0.3">
      <c r="A284" s="41">
        <v>44341</v>
      </c>
      <c r="B284" s="42">
        <v>1450.94995117188</v>
      </c>
      <c r="C284" s="42">
        <v>15208.4501953125</v>
      </c>
      <c r="D284" s="289">
        <f t="shared" si="8"/>
        <v>7.0734386531165255E-4</v>
      </c>
      <c r="E284" s="289">
        <f t="shared" si="9"/>
        <v>5.3351471830105678E-3</v>
      </c>
      <c r="F284" s="14"/>
      <c r="G284" s="14"/>
    </row>
    <row r="285" spans="1:7" ht="14.25" customHeight="1" x14ac:dyDescent="0.3">
      <c r="A285" s="41">
        <v>44342</v>
      </c>
      <c r="B285" s="42">
        <v>1472.90002441406</v>
      </c>
      <c r="C285" s="42">
        <v>15301.4501953125</v>
      </c>
      <c r="D285" s="289">
        <f t="shared" si="8"/>
        <v>6.1150215048647203E-3</v>
      </c>
      <c r="E285" s="289">
        <f t="shared" si="9"/>
        <v>1.5128070561256585E-2</v>
      </c>
      <c r="F285" s="14"/>
      <c r="G285" s="14"/>
    </row>
    <row r="286" spans="1:7" ht="14.25" customHeight="1" x14ac:dyDescent="0.3">
      <c r="A286" s="41">
        <v>44343</v>
      </c>
      <c r="B286" s="42">
        <v>1482.84997558594</v>
      </c>
      <c r="C286" s="42">
        <v>15337.849609375</v>
      </c>
      <c r="D286" s="289">
        <f t="shared" si="8"/>
        <v>2.3788211965458492E-3</v>
      </c>
      <c r="E286" s="289">
        <f t="shared" si="9"/>
        <v>6.7553472788068085E-3</v>
      </c>
      <c r="F286" s="14"/>
      <c r="G286" s="14"/>
    </row>
    <row r="287" spans="1:7" ht="14.25" customHeight="1" x14ac:dyDescent="0.3">
      <c r="A287" s="41">
        <v>44344</v>
      </c>
      <c r="B287" s="42">
        <v>1478.09997558594</v>
      </c>
      <c r="C287" s="42">
        <v>15435.650390625</v>
      </c>
      <c r="D287" s="289">
        <f t="shared" si="8"/>
        <v>6.3764337075140533E-3</v>
      </c>
      <c r="E287" s="289">
        <f t="shared" si="9"/>
        <v>-3.2032910127156077E-3</v>
      </c>
      <c r="F287" s="14"/>
      <c r="G287" s="14"/>
    </row>
    <row r="288" spans="1:7" ht="14.25" customHeight="1" x14ac:dyDescent="0.3">
      <c r="A288" s="41">
        <v>44347</v>
      </c>
      <c r="B288" s="42">
        <v>1467.69995117188</v>
      </c>
      <c r="C288" s="42">
        <v>15582.7998046875</v>
      </c>
      <c r="D288" s="289">
        <f t="shared" si="8"/>
        <v>9.5330880357249285E-3</v>
      </c>
      <c r="E288" s="289">
        <f t="shared" si="9"/>
        <v>-7.0360764399155611E-3</v>
      </c>
      <c r="F288" s="14"/>
      <c r="G288" s="14"/>
    </row>
    <row r="289" spans="1:7" ht="14.25" customHeight="1" x14ac:dyDescent="0.3">
      <c r="A289" s="41">
        <v>44348</v>
      </c>
      <c r="B289" s="42">
        <v>1474.65002441406</v>
      </c>
      <c r="C289" s="42">
        <v>15574.849609375</v>
      </c>
      <c r="D289" s="289">
        <f t="shared" si="8"/>
        <v>-5.1019042868717874E-4</v>
      </c>
      <c r="E289" s="289">
        <f t="shared" si="9"/>
        <v>4.7353501896833438E-3</v>
      </c>
      <c r="F289" s="14"/>
      <c r="G289" s="14"/>
    </row>
    <row r="290" spans="1:7" ht="14.25" customHeight="1" x14ac:dyDescent="0.3">
      <c r="A290" s="41">
        <v>44349</v>
      </c>
      <c r="B290" s="42">
        <v>1471.05004882813</v>
      </c>
      <c r="C290" s="42">
        <v>15576.2001953125</v>
      </c>
      <c r="D290" s="289">
        <f t="shared" si="8"/>
        <v>8.6715825280716621E-5</v>
      </c>
      <c r="E290" s="289">
        <f t="shared" si="9"/>
        <v>-2.4412406512253084E-3</v>
      </c>
      <c r="F290" s="14"/>
      <c r="G290" s="14"/>
    </row>
    <row r="291" spans="1:7" ht="14.25" customHeight="1" x14ac:dyDescent="0.3">
      <c r="A291" s="41">
        <v>44350</v>
      </c>
      <c r="B291" s="42">
        <v>1510.84997558594</v>
      </c>
      <c r="C291" s="42">
        <v>15690.349609375</v>
      </c>
      <c r="D291" s="289">
        <f t="shared" si="8"/>
        <v>7.3284506253875779E-3</v>
      </c>
      <c r="E291" s="289">
        <f t="shared" si="9"/>
        <v>2.7055453884465369E-2</v>
      </c>
      <c r="F291" s="14"/>
      <c r="G291" s="14"/>
    </row>
    <row r="292" spans="1:7" ht="14.25" customHeight="1" x14ac:dyDescent="0.3">
      <c r="A292" s="41">
        <v>44351</v>
      </c>
      <c r="B292" s="42">
        <v>1537.55004882813</v>
      </c>
      <c r="C292" s="42">
        <v>15670.25</v>
      </c>
      <c r="D292" s="289">
        <f t="shared" si="8"/>
        <v>-1.2810173052479636E-3</v>
      </c>
      <c r="E292" s="289">
        <f t="shared" si="9"/>
        <v>1.7672220057345627E-2</v>
      </c>
      <c r="F292" s="14"/>
      <c r="G292" s="14"/>
    </row>
    <row r="293" spans="1:7" ht="14.25" customHeight="1" x14ac:dyDescent="0.3">
      <c r="A293" s="41">
        <v>44354</v>
      </c>
      <c r="B293" s="42">
        <v>1557.80004882813</v>
      </c>
      <c r="C293" s="42">
        <v>15751.650390625</v>
      </c>
      <c r="D293" s="289">
        <f t="shared" si="8"/>
        <v>5.1945814919991708E-3</v>
      </c>
      <c r="E293" s="289">
        <f t="shared" si="9"/>
        <v>1.3170302986516688E-2</v>
      </c>
      <c r="F293" s="14"/>
      <c r="G293" s="14"/>
    </row>
    <row r="294" spans="1:7" ht="14.25" customHeight="1" x14ac:dyDescent="0.3">
      <c r="A294" s="41">
        <v>44355</v>
      </c>
      <c r="B294" s="42">
        <v>1549.15002441406</v>
      </c>
      <c r="C294" s="42">
        <v>15740.099609375</v>
      </c>
      <c r="D294" s="289">
        <f t="shared" si="8"/>
        <v>-7.3330609577741419E-4</v>
      </c>
      <c r="E294" s="289">
        <f t="shared" si="9"/>
        <v>-5.5527180273084896E-3</v>
      </c>
      <c r="F294" s="14"/>
      <c r="G294" s="14"/>
    </row>
    <row r="295" spans="1:7" ht="14.25" customHeight="1" x14ac:dyDescent="0.3">
      <c r="A295" s="41">
        <v>44356</v>
      </c>
      <c r="B295" s="42">
        <v>1519.30004882813</v>
      </c>
      <c r="C295" s="42">
        <v>15635.349609375</v>
      </c>
      <c r="D295" s="289">
        <f t="shared" si="8"/>
        <v>-6.6549769442125761E-3</v>
      </c>
      <c r="E295" s="289">
        <f t="shared" si="9"/>
        <v>-1.9268615121521396E-2</v>
      </c>
      <c r="F295" s="14"/>
      <c r="G295" s="14"/>
    </row>
    <row r="296" spans="1:7" ht="14.25" customHeight="1" x14ac:dyDescent="0.3">
      <c r="A296" s="41">
        <v>44357</v>
      </c>
      <c r="B296" s="42">
        <v>1519.69995117188</v>
      </c>
      <c r="C296" s="42">
        <v>15737.75</v>
      </c>
      <c r="D296" s="289">
        <f t="shared" si="8"/>
        <v>6.5492869160789623E-3</v>
      </c>
      <c r="E296" s="289">
        <f t="shared" si="9"/>
        <v>2.6321485611644228E-4</v>
      </c>
      <c r="F296" s="14"/>
      <c r="G296" s="14"/>
    </row>
    <row r="297" spans="1:7" ht="14.25" customHeight="1" x14ac:dyDescent="0.3">
      <c r="A297" s="41">
        <v>44358</v>
      </c>
      <c r="B297" s="42">
        <v>1503.44995117188</v>
      </c>
      <c r="C297" s="42">
        <v>15799.349609375</v>
      </c>
      <c r="D297" s="289">
        <f t="shared" si="8"/>
        <v>3.9141306333497486E-3</v>
      </c>
      <c r="E297" s="289">
        <f t="shared" si="9"/>
        <v>-1.0692900258020804E-2</v>
      </c>
      <c r="F297" s="14"/>
      <c r="G297" s="14"/>
    </row>
    <row r="298" spans="1:7" ht="14.25" customHeight="1" x14ac:dyDescent="0.3">
      <c r="A298" s="41">
        <v>44361</v>
      </c>
      <c r="B298" s="42">
        <v>1515.75</v>
      </c>
      <c r="C298" s="42">
        <v>15811.849609375</v>
      </c>
      <c r="D298" s="289">
        <f t="shared" si="8"/>
        <v>7.9117180827385227E-4</v>
      </c>
      <c r="E298" s="289">
        <f t="shared" si="9"/>
        <v>8.1812160215460408E-3</v>
      </c>
      <c r="F298" s="14"/>
      <c r="G298" s="14"/>
    </row>
    <row r="299" spans="1:7" ht="14.25" customHeight="1" x14ac:dyDescent="0.3">
      <c r="A299" s="41">
        <v>44362</v>
      </c>
      <c r="B299" s="42">
        <v>1510.80004882813</v>
      </c>
      <c r="C299" s="42">
        <v>15869.25</v>
      </c>
      <c r="D299" s="289">
        <f t="shared" si="8"/>
        <v>3.630213545097643E-3</v>
      </c>
      <c r="E299" s="289">
        <f t="shared" si="9"/>
        <v>-3.2656778306910756E-3</v>
      </c>
      <c r="F299" s="14"/>
      <c r="G299" s="14"/>
    </row>
    <row r="300" spans="1:7" ht="14.25" customHeight="1" x14ac:dyDescent="0.3">
      <c r="A300" s="41">
        <v>44363</v>
      </c>
      <c r="B300" s="42">
        <v>1490.90002441406</v>
      </c>
      <c r="C300" s="42">
        <v>15767.5498046875</v>
      </c>
      <c r="D300" s="289">
        <f t="shared" si="8"/>
        <v>-6.4086327528081041E-3</v>
      </c>
      <c r="E300" s="289">
        <f t="shared" si="9"/>
        <v>-1.3171845228298538E-2</v>
      </c>
      <c r="F300" s="14"/>
      <c r="G300" s="14"/>
    </row>
    <row r="301" spans="1:7" ht="14.25" customHeight="1" x14ac:dyDescent="0.3">
      <c r="A301" s="41">
        <v>44364</v>
      </c>
      <c r="B301" s="42">
        <v>1487.55004882813</v>
      </c>
      <c r="C301" s="42">
        <v>15691.400390625</v>
      </c>
      <c r="D301" s="289">
        <f t="shared" si="8"/>
        <v>-4.829502047290931E-3</v>
      </c>
      <c r="E301" s="289">
        <f t="shared" si="9"/>
        <v>-2.2469485083324576E-3</v>
      </c>
      <c r="F301" s="14"/>
      <c r="G301" s="14"/>
    </row>
    <row r="302" spans="1:7" ht="14.25" customHeight="1" x14ac:dyDescent="0.3">
      <c r="A302" s="41">
        <v>44365</v>
      </c>
      <c r="B302" s="42">
        <v>1476</v>
      </c>
      <c r="C302" s="42">
        <v>15683.349609375</v>
      </c>
      <c r="D302" s="289">
        <f t="shared" si="8"/>
        <v>-5.1306964640390079E-4</v>
      </c>
      <c r="E302" s="289">
        <f t="shared" si="9"/>
        <v>-7.7644774622735958E-3</v>
      </c>
      <c r="F302" s="14"/>
      <c r="G302" s="14"/>
    </row>
    <row r="303" spans="1:7" ht="14.25" customHeight="1" x14ac:dyDescent="0.3">
      <c r="A303" s="41">
        <v>44368</v>
      </c>
      <c r="B303" s="42">
        <v>1467.05004882813</v>
      </c>
      <c r="C303" s="42">
        <v>15746.5</v>
      </c>
      <c r="D303" s="289">
        <f t="shared" si="8"/>
        <v>4.0265882096545708E-3</v>
      </c>
      <c r="E303" s="289">
        <f t="shared" si="9"/>
        <v>-6.0636525554674785E-3</v>
      </c>
      <c r="F303" s="14"/>
      <c r="G303" s="14"/>
    </row>
    <row r="304" spans="1:7" ht="14.25" customHeight="1" x14ac:dyDescent="0.3">
      <c r="A304" s="41">
        <v>44369</v>
      </c>
      <c r="B304" s="42">
        <v>1499.19995117188</v>
      </c>
      <c r="C304" s="42">
        <v>15772.75</v>
      </c>
      <c r="D304" s="289">
        <f t="shared" si="8"/>
        <v>1.6670371193598578E-3</v>
      </c>
      <c r="E304" s="289">
        <f t="shared" si="9"/>
        <v>2.1914659536960673E-2</v>
      </c>
      <c r="F304" s="14"/>
      <c r="G304" s="14"/>
    </row>
    <row r="305" spans="1:7" ht="14.25" customHeight="1" x14ac:dyDescent="0.3">
      <c r="A305" s="41">
        <v>44370</v>
      </c>
      <c r="B305" s="42">
        <v>1479.25</v>
      </c>
      <c r="C305" s="42">
        <v>15686.9501953125</v>
      </c>
      <c r="D305" s="289">
        <f t="shared" si="8"/>
        <v>-5.4397492312691191E-3</v>
      </c>
      <c r="E305" s="289">
        <f t="shared" si="9"/>
        <v>-1.3307064982416602E-2</v>
      </c>
      <c r="F305" s="14"/>
      <c r="G305" s="14"/>
    </row>
    <row r="306" spans="1:7" ht="14.25" customHeight="1" x14ac:dyDescent="0.3">
      <c r="A306" s="41">
        <v>44371</v>
      </c>
      <c r="B306" s="42">
        <v>1504.05004882813</v>
      </c>
      <c r="C306" s="42">
        <v>15790.4501953125</v>
      </c>
      <c r="D306" s="289">
        <f t="shared" si="8"/>
        <v>6.5978407983297719E-3</v>
      </c>
      <c r="E306" s="289">
        <f t="shared" si="9"/>
        <v>1.6765285670528984E-2</v>
      </c>
      <c r="F306" s="14"/>
      <c r="G306" s="14"/>
    </row>
    <row r="307" spans="1:7" ht="14.25" customHeight="1" x14ac:dyDescent="0.3">
      <c r="A307" s="41">
        <v>44372</v>
      </c>
      <c r="B307" s="42">
        <v>1523.84997558594</v>
      </c>
      <c r="C307" s="42">
        <v>15860.349609375</v>
      </c>
      <c r="D307" s="289">
        <f t="shared" si="8"/>
        <v>4.4266891189239247E-3</v>
      </c>
      <c r="E307" s="289">
        <f t="shared" si="9"/>
        <v>1.3164406844863289E-2</v>
      </c>
      <c r="F307" s="14"/>
      <c r="G307" s="14"/>
    </row>
    <row r="308" spans="1:7" ht="14.25" customHeight="1" x14ac:dyDescent="0.3">
      <c r="A308" s="41">
        <v>44375</v>
      </c>
      <c r="B308" s="42">
        <v>1514.44995117188</v>
      </c>
      <c r="C308" s="42">
        <v>15814.7001953125</v>
      </c>
      <c r="D308" s="289">
        <f t="shared" si="8"/>
        <v>-2.8782098242977434E-3</v>
      </c>
      <c r="E308" s="289">
        <f t="shared" si="9"/>
        <v>-6.1686022670608158E-3</v>
      </c>
      <c r="F308" s="14"/>
      <c r="G308" s="14"/>
    </row>
    <row r="309" spans="1:7" ht="14.25" customHeight="1" x14ac:dyDescent="0.3">
      <c r="A309" s="41">
        <v>44376</v>
      </c>
      <c r="B309" s="42">
        <v>1510.90002441406</v>
      </c>
      <c r="C309" s="42">
        <v>15748.4501953125</v>
      </c>
      <c r="D309" s="289">
        <f t="shared" si="8"/>
        <v>-4.1891404314851697E-3</v>
      </c>
      <c r="E309" s="289">
        <f t="shared" si="9"/>
        <v>-2.3440370248439531E-3</v>
      </c>
      <c r="F309" s="14"/>
      <c r="G309" s="14"/>
    </row>
    <row r="310" spans="1:7" ht="14.25" customHeight="1" x14ac:dyDescent="0.3">
      <c r="A310" s="41">
        <v>44377</v>
      </c>
      <c r="B310" s="42">
        <v>1500.55004882813</v>
      </c>
      <c r="C310" s="42">
        <v>15721.5</v>
      </c>
      <c r="D310" s="289">
        <f t="shared" si="8"/>
        <v>-1.7112919035373831E-3</v>
      </c>
      <c r="E310" s="289">
        <f t="shared" si="9"/>
        <v>-6.8502054528351772E-3</v>
      </c>
      <c r="F310" s="14"/>
      <c r="G310" s="14"/>
    </row>
    <row r="311" spans="1:7" ht="14.25" customHeight="1" x14ac:dyDescent="0.3">
      <c r="A311" s="41">
        <v>44378</v>
      </c>
      <c r="B311" s="42">
        <v>1492.30004882813</v>
      </c>
      <c r="C311" s="42">
        <v>15680</v>
      </c>
      <c r="D311" s="289">
        <f t="shared" si="8"/>
        <v>-2.6396972299080877E-3</v>
      </c>
      <c r="E311" s="289">
        <f t="shared" si="9"/>
        <v>-5.497983893601498E-3</v>
      </c>
      <c r="F311" s="14"/>
      <c r="G311" s="14"/>
    </row>
    <row r="312" spans="1:7" ht="14.25" customHeight="1" x14ac:dyDescent="0.3">
      <c r="A312" s="41">
        <v>44379</v>
      </c>
      <c r="B312" s="42">
        <v>1485.65002441406</v>
      </c>
      <c r="C312" s="42">
        <v>15722.2001953125</v>
      </c>
      <c r="D312" s="289">
        <f t="shared" si="8"/>
        <v>2.6913389867665818E-3</v>
      </c>
      <c r="E312" s="289">
        <f t="shared" si="9"/>
        <v>-4.4562247513776597E-3</v>
      </c>
      <c r="F312" s="14"/>
      <c r="G312" s="14"/>
    </row>
    <row r="313" spans="1:7" ht="14.25" customHeight="1" x14ac:dyDescent="0.3">
      <c r="A313" s="41">
        <v>44382</v>
      </c>
      <c r="B313" s="42">
        <v>1507.94995117188</v>
      </c>
      <c r="C313" s="42">
        <v>15834.349609375</v>
      </c>
      <c r="D313" s="289">
        <f t="shared" si="8"/>
        <v>7.1331882732250679E-3</v>
      </c>
      <c r="E313" s="289">
        <f t="shared" si="9"/>
        <v>1.5010215320808876E-2</v>
      </c>
      <c r="F313" s="14"/>
      <c r="G313" s="14"/>
    </row>
    <row r="314" spans="1:7" ht="14.25" customHeight="1" x14ac:dyDescent="0.3">
      <c r="A314" s="41">
        <v>44383</v>
      </c>
      <c r="B314" s="42">
        <v>1505.5</v>
      </c>
      <c r="C314" s="42">
        <v>15818.25</v>
      </c>
      <c r="D314" s="289">
        <f t="shared" si="8"/>
        <v>-1.016752173102705E-3</v>
      </c>
      <c r="E314" s="289">
        <f t="shared" si="9"/>
        <v>-1.6246899772608902E-3</v>
      </c>
      <c r="F314" s="14"/>
      <c r="G314" s="14"/>
    </row>
    <row r="315" spans="1:7" ht="14.25" customHeight="1" x14ac:dyDescent="0.3">
      <c r="A315" s="41">
        <v>44384</v>
      </c>
      <c r="B315" s="42">
        <v>1516.44995117188</v>
      </c>
      <c r="C315" s="42">
        <v>15879.650390625</v>
      </c>
      <c r="D315" s="289">
        <f t="shared" si="8"/>
        <v>3.8816171589777632E-3</v>
      </c>
      <c r="E315" s="289">
        <f t="shared" si="9"/>
        <v>7.2732986860710742E-3</v>
      </c>
      <c r="F315" s="14"/>
      <c r="G315" s="14"/>
    </row>
    <row r="316" spans="1:7" ht="14.25" customHeight="1" x14ac:dyDescent="0.3">
      <c r="A316" s="41">
        <v>44385</v>
      </c>
      <c r="B316" s="42">
        <v>1500.69995117188</v>
      </c>
      <c r="C316" s="42">
        <v>15727.900390625</v>
      </c>
      <c r="D316" s="289">
        <f t="shared" si="8"/>
        <v>-9.5562557277451086E-3</v>
      </c>
      <c r="E316" s="289">
        <f t="shared" si="9"/>
        <v>-1.0386099447481758E-2</v>
      </c>
      <c r="F316" s="14"/>
      <c r="G316" s="14"/>
    </row>
    <row r="317" spans="1:7" ht="14.25" customHeight="1" x14ac:dyDescent="0.3">
      <c r="A317" s="41">
        <v>44386</v>
      </c>
      <c r="B317" s="42">
        <v>1499.59997558594</v>
      </c>
      <c r="C317" s="42">
        <v>15689.7998046875</v>
      </c>
      <c r="D317" s="289">
        <f t="shared" si="8"/>
        <v>-2.4224839292732799E-3</v>
      </c>
      <c r="E317" s="289">
        <f t="shared" si="9"/>
        <v>-7.3297502614099667E-4</v>
      </c>
      <c r="F317" s="14"/>
      <c r="G317" s="14"/>
    </row>
    <row r="318" spans="1:7" ht="14.25" customHeight="1" x14ac:dyDescent="0.3">
      <c r="A318" s="41">
        <v>44389</v>
      </c>
      <c r="B318" s="42">
        <v>1500.75</v>
      </c>
      <c r="C318" s="42">
        <v>15692.599609375</v>
      </c>
      <c r="D318" s="289">
        <f t="shared" si="8"/>
        <v>1.7844744498674405E-4</v>
      </c>
      <c r="E318" s="289">
        <f t="shared" si="9"/>
        <v>7.6688745851082648E-4</v>
      </c>
      <c r="F318" s="14"/>
      <c r="G318" s="14"/>
    </row>
    <row r="319" spans="1:7" ht="14.25" customHeight="1" x14ac:dyDescent="0.3">
      <c r="A319" s="41">
        <v>44390</v>
      </c>
      <c r="B319" s="42">
        <v>1513.59997558594</v>
      </c>
      <c r="C319" s="42">
        <v>15812.349609375</v>
      </c>
      <c r="D319" s="289">
        <f t="shared" si="8"/>
        <v>7.6309854951285136E-3</v>
      </c>
      <c r="E319" s="289">
        <f t="shared" si="9"/>
        <v>8.562369206023655E-3</v>
      </c>
      <c r="F319" s="14"/>
      <c r="G319" s="14"/>
    </row>
    <row r="320" spans="1:7" ht="14.25" customHeight="1" x14ac:dyDescent="0.3">
      <c r="A320" s="41">
        <v>44391</v>
      </c>
      <c r="B320" s="42">
        <v>1544.69995117188</v>
      </c>
      <c r="C320" s="42">
        <v>15853.9501953125</v>
      </c>
      <c r="D320" s="289">
        <f t="shared" si="8"/>
        <v>2.6308921169334244E-3</v>
      </c>
      <c r="E320" s="289">
        <f t="shared" si="9"/>
        <v>2.0547024370756003E-2</v>
      </c>
      <c r="F320" s="14"/>
      <c r="G320" s="14"/>
    </row>
    <row r="321" spans="1:7" ht="14.25" customHeight="1" x14ac:dyDescent="0.3">
      <c r="A321" s="41">
        <v>44392</v>
      </c>
      <c r="B321" s="42">
        <v>1609.34997558594</v>
      </c>
      <c r="C321" s="42">
        <v>15924.2001953125</v>
      </c>
      <c r="D321" s="289">
        <f t="shared" si="8"/>
        <v>4.4310723280038215E-3</v>
      </c>
      <c r="E321" s="289">
        <f t="shared" si="9"/>
        <v>4.1852804076942925E-2</v>
      </c>
      <c r="F321" s="14"/>
      <c r="G321" s="14"/>
    </row>
    <row r="322" spans="1:7" ht="14.25" customHeight="1" x14ac:dyDescent="0.3">
      <c r="A322" s="41">
        <v>44393</v>
      </c>
      <c r="B322" s="42">
        <v>1618.75</v>
      </c>
      <c r="C322" s="42">
        <v>15923.400390625</v>
      </c>
      <c r="D322" s="289">
        <f t="shared" si="8"/>
        <v>-5.0225736783655429E-5</v>
      </c>
      <c r="E322" s="289">
        <f t="shared" si="9"/>
        <v>5.8408826896943853E-3</v>
      </c>
      <c r="F322" s="14"/>
      <c r="G322" s="14"/>
    </row>
    <row r="323" spans="1:7" ht="14.25" customHeight="1" x14ac:dyDescent="0.3">
      <c r="A323" s="41">
        <v>44396</v>
      </c>
      <c r="B323" s="42">
        <v>1609.59997558594</v>
      </c>
      <c r="C323" s="42">
        <v>15752.400390625</v>
      </c>
      <c r="D323" s="289">
        <f t="shared" ref="D323:D386" si="10">(C323-C322)/C322</f>
        <v>-1.0738912280361756E-2</v>
      </c>
      <c r="E323" s="289">
        <f t="shared" ref="E323:E386" si="11">(B323-B322)/B322</f>
        <v>-5.6525247345544398E-3</v>
      </c>
      <c r="F323" s="14"/>
      <c r="G323" s="14"/>
    </row>
    <row r="324" spans="1:7" ht="14.25" customHeight="1" x14ac:dyDescent="0.3">
      <c r="A324" s="41">
        <v>44397</v>
      </c>
      <c r="B324" s="42">
        <v>1590.34997558594</v>
      </c>
      <c r="C324" s="42">
        <v>15632.099609375</v>
      </c>
      <c r="D324" s="289">
        <f t="shared" si="10"/>
        <v>-7.6369809214344685E-3</v>
      </c>
      <c r="E324" s="289">
        <f t="shared" si="11"/>
        <v>-1.1959493223148475E-2</v>
      </c>
      <c r="F324" s="14"/>
      <c r="G324" s="14"/>
    </row>
    <row r="325" spans="1:7" ht="14.25" customHeight="1" x14ac:dyDescent="0.3">
      <c r="A325" s="41">
        <v>44399</v>
      </c>
      <c r="B325" s="42">
        <v>1642.15002441406</v>
      </c>
      <c r="C325" s="42">
        <v>15824.0498046875</v>
      </c>
      <c r="D325" s="289">
        <f t="shared" si="10"/>
        <v>1.2279233123449532E-2</v>
      </c>
      <c r="E325" s="289">
        <f t="shared" si="11"/>
        <v>3.2571477739693787E-2</v>
      </c>
      <c r="F325" s="14"/>
      <c r="G325" s="14"/>
    </row>
    <row r="326" spans="1:7" ht="14.25" customHeight="1" x14ac:dyDescent="0.3">
      <c r="A326" s="41">
        <v>44400</v>
      </c>
      <c r="B326" s="42">
        <v>1611.75</v>
      </c>
      <c r="C326" s="42">
        <v>15856.0498046875</v>
      </c>
      <c r="D326" s="289">
        <f t="shared" si="10"/>
        <v>2.0222383267853947E-3</v>
      </c>
      <c r="E326" s="289">
        <f t="shared" si="11"/>
        <v>-1.8512330762779798E-2</v>
      </c>
      <c r="F326" s="14"/>
      <c r="G326" s="14"/>
    </row>
    <row r="327" spans="1:7" ht="14.25" customHeight="1" x14ac:dyDescent="0.3">
      <c r="A327" s="41">
        <v>44403</v>
      </c>
      <c r="B327" s="42">
        <v>1597.59997558594</v>
      </c>
      <c r="C327" s="42">
        <v>15824.4501953125</v>
      </c>
      <c r="D327" s="289">
        <f t="shared" si="10"/>
        <v>-1.9929055322251985E-3</v>
      </c>
      <c r="E327" s="289">
        <f t="shared" si="11"/>
        <v>-8.7792923307336741E-3</v>
      </c>
      <c r="F327" s="14"/>
      <c r="G327" s="14"/>
    </row>
    <row r="328" spans="1:7" ht="14.25" customHeight="1" x14ac:dyDescent="0.3">
      <c r="A328" s="41">
        <v>44404</v>
      </c>
      <c r="B328" s="42">
        <v>1608.25</v>
      </c>
      <c r="C328" s="42">
        <v>15746.4501953125</v>
      </c>
      <c r="D328" s="289">
        <f t="shared" si="10"/>
        <v>-4.9290812026508866E-3</v>
      </c>
      <c r="E328" s="289">
        <f t="shared" si="11"/>
        <v>6.666264757643081E-3</v>
      </c>
      <c r="F328" s="14"/>
      <c r="G328" s="14"/>
    </row>
    <row r="329" spans="1:7" ht="14.25" customHeight="1" x14ac:dyDescent="0.3">
      <c r="A329" s="41">
        <v>44405</v>
      </c>
      <c r="B329" s="42">
        <v>1594.19995117188</v>
      </c>
      <c r="C329" s="42">
        <v>15709.400390625</v>
      </c>
      <c r="D329" s="289">
        <f t="shared" si="10"/>
        <v>-2.3528988583426387E-3</v>
      </c>
      <c r="E329" s="289">
        <f t="shared" si="11"/>
        <v>-8.7362343094170673E-3</v>
      </c>
      <c r="F329" s="14"/>
      <c r="G329" s="14"/>
    </row>
    <row r="330" spans="1:7" ht="14.25" customHeight="1" x14ac:dyDescent="0.3">
      <c r="A330" s="41">
        <v>44406</v>
      </c>
      <c r="B330" s="42">
        <v>1596</v>
      </c>
      <c r="C330" s="42">
        <v>15778.4501953125</v>
      </c>
      <c r="D330" s="289">
        <f t="shared" si="10"/>
        <v>4.3954449546468556E-3</v>
      </c>
      <c r="E330" s="289">
        <f t="shared" si="11"/>
        <v>1.1291236251743707E-3</v>
      </c>
      <c r="F330" s="14"/>
      <c r="G330" s="14"/>
    </row>
    <row r="331" spans="1:7" ht="14.25" customHeight="1" x14ac:dyDescent="0.3">
      <c r="A331" s="41">
        <v>44407</v>
      </c>
      <c r="B331" s="42">
        <v>1601.44995117188</v>
      </c>
      <c r="C331" s="42">
        <v>15763.0498046875</v>
      </c>
      <c r="D331" s="289">
        <f t="shared" si="10"/>
        <v>-9.7603949908687388E-4</v>
      </c>
      <c r="E331" s="289">
        <f t="shared" si="11"/>
        <v>3.4147563733583973E-3</v>
      </c>
      <c r="F331" s="14"/>
      <c r="G331" s="14"/>
    </row>
    <row r="332" spans="1:7" ht="14.25" customHeight="1" x14ac:dyDescent="0.3">
      <c r="A332" s="41">
        <v>44410</v>
      </c>
      <c r="B332" s="42">
        <v>1613.94995117188</v>
      </c>
      <c r="C332" s="42">
        <v>15885.150390625</v>
      </c>
      <c r="D332" s="289">
        <f t="shared" si="10"/>
        <v>7.7460001364197065E-3</v>
      </c>
      <c r="E332" s="289">
        <f t="shared" si="11"/>
        <v>7.8054265703732901E-3</v>
      </c>
      <c r="F332" s="14"/>
      <c r="G332" s="14"/>
    </row>
    <row r="333" spans="1:7" ht="14.25" customHeight="1" x14ac:dyDescent="0.3">
      <c r="A333" s="41">
        <v>44411</v>
      </c>
      <c r="B333" s="42">
        <v>1634.34997558594</v>
      </c>
      <c r="C333" s="42">
        <v>16130.75</v>
      </c>
      <c r="D333" s="289">
        <f t="shared" si="10"/>
        <v>1.5460955882416225E-2</v>
      </c>
      <c r="E333" s="289">
        <f t="shared" si="11"/>
        <v>1.2639812281197231E-2</v>
      </c>
      <c r="F333" s="14"/>
      <c r="G333" s="14"/>
    </row>
    <row r="334" spans="1:7" ht="14.25" customHeight="1" x14ac:dyDescent="0.3">
      <c r="A334" s="41">
        <v>44412</v>
      </c>
      <c r="B334" s="42">
        <v>1623.19995117188</v>
      </c>
      <c r="C334" s="42">
        <v>16258.7998046875</v>
      </c>
      <c r="D334" s="289">
        <f t="shared" si="10"/>
        <v>7.9382424678021788E-3</v>
      </c>
      <c r="E334" s="289">
        <f t="shared" si="11"/>
        <v>-6.822299128473105E-3</v>
      </c>
      <c r="F334" s="14"/>
      <c r="G334" s="14"/>
    </row>
    <row r="335" spans="1:7" ht="14.25" customHeight="1" x14ac:dyDescent="0.3">
      <c r="A335" s="41">
        <v>44413</v>
      </c>
      <c r="B335" s="42">
        <v>1627.40002441406</v>
      </c>
      <c r="C335" s="42">
        <v>16294.599609375</v>
      </c>
      <c r="D335" s="289">
        <f t="shared" si="10"/>
        <v>2.2018725316476757E-3</v>
      </c>
      <c r="E335" s="289">
        <f t="shared" si="11"/>
        <v>2.5875267179177315E-3</v>
      </c>
      <c r="F335" s="14"/>
      <c r="G335" s="14"/>
    </row>
    <row r="336" spans="1:7" ht="14.25" customHeight="1" x14ac:dyDescent="0.3">
      <c r="A336" s="41">
        <v>44414</v>
      </c>
      <c r="B336" s="42">
        <v>1610.34997558594</v>
      </c>
      <c r="C336" s="42">
        <v>16238.2001953125</v>
      </c>
      <c r="D336" s="289">
        <f t="shared" si="10"/>
        <v>-3.4612335015615195E-3</v>
      </c>
      <c r="E336" s="289">
        <f t="shared" si="11"/>
        <v>-1.0476864060671753E-2</v>
      </c>
      <c r="F336" s="14"/>
      <c r="G336" s="14"/>
    </row>
    <row r="337" spans="1:7" ht="14.25" customHeight="1" x14ac:dyDescent="0.3">
      <c r="A337" s="41">
        <v>44417</v>
      </c>
      <c r="B337" s="42">
        <v>1597.44995117188</v>
      </c>
      <c r="C337" s="42">
        <v>16258.25</v>
      </c>
      <c r="D337" s="289">
        <f t="shared" si="10"/>
        <v>1.2347307242392418E-3</v>
      </c>
      <c r="E337" s="289">
        <f t="shared" si="11"/>
        <v>-8.010696190041678E-3</v>
      </c>
      <c r="F337" s="14"/>
      <c r="G337" s="14"/>
    </row>
    <row r="338" spans="1:7" ht="14.25" customHeight="1" x14ac:dyDescent="0.3">
      <c r="A338" s="41">
        <v>44418</v>
      </c>
      <c r="B338" s="42">
        <v>1588.44995117188</v>
      </c>
      <c r="C338" s="42">
        <v>16280.099609375</v>
      </c>
      <c r="D338" s="289">
        <f t="shared" si="10"/>
        <v>1.3439090538649608E-3</v>
      </c>
      <c r="E338" s="289">
        <f t="shared" si="11"/>
        <v>-5.6339793264869754E-3</v>
      </c>
      <c r="F338" s="14"/>
      <c r="G338" s="14"/>
    </row>
    <row r="339" spans="1:7" ht="14.25" customHeight="1" x14ac:dyDescent="0.3">
      <c r="A339" s="41">
        <v>44419</v>
      </c>
      <c r="B339" s="42">
        <v>1583.30004882813</v>
      </c>
      <c r="C339" s="42">
        <v>16282.25</v>
      </c>
      <c r="D339" s="289">
        <f t="shared" si="10"/>
        <v>1.3208706805219322E-4</v>
      </c>
      <c r="E339" s="289">
        <f t="shared" si="11"/>
        <v>-3.2420929220657257E-3</v>
      </c>
      <c r="F339" s="14"/>
      <c r="G339" s="14"/>
    </row>
    <row r="340" spans="1:7" ht="14.25" customHeight="1" x14ac:dyDescent="0.3">
      <c r="A340" s="41">
        <v>44420</v>
      </c>
      <c r="B340" s="42">
        <v>1623.44995117188</v>
      </c>
      <c r="C340" s="42">
        <v>16364.400390625</v>
      </c>
      <c r="D340" s="289">
        <f t="shared" si="10"/>
        <v>5.0453954843464512E-3</v>
      </c>
      <c r="E340" s="289">
        <f t="shared" si="11"/>
        <v>2.5358366137528201E-2</v>
      </c>
      <c r="F340" s="14"/>
      <c r="G340" s="14"/>
    </row>
    <row r="341" spans="1:7" ht="14.25" customHeight="1" x14ac:dyDescent="0.3">
      <c r="A341" s="41">
        <v>44421</v>
      </c>
      <c r="B341" s="42">
        <v>1668.40002441406</v>
      </c>
      <c r="C341" s="42">
        <v>16529.099609375</v>
      </c>
      <c r="D341" s="289">
        <f t="shared" si="10"/>
        <v>1.0064482340847301E-2</v>
      </c>
      <c r="E341" s="289">
        <f t="shared" si="11"/>
        <v>2.7687994452636491E-2</v>
      </c>
      <c r="F341" s="14"/>
      <c r="G341" s="14"/>
    </row>
    <row r="342" spans="1:7" ht="14.25" customHeight="1" x14ac:dyDescent="0.3">
      <c r="A342" s="41">
        <v>44424</v>
      </c>
      <c r="B342" s="42">
        <v>1656.09997558594</v>
      </c>
      <c r="C342" s="42">
        <v>16563.05078125</v>
      </c>
      <c r="D342" s="289">
        <f t="shared" si="10"/>
        <v>2.0540242770237479E-3</v>
      </c>
      <c r="E342" s="289">
        <f t="shared" si="11"/>
        <v>-7.3723619324686596E-3</v>
      </c>
      <c r="F342" s="14"/>
      <c r="G342" s="14"/>
    </row>
    <row r="343" spans="1:7" ht="14.25" customHeight="1" x14ac:dyDescent="0.3">
      <c r="A343" s="41">
        <v>44425</v>
      </c>
      <c r="B343" s="42">
        <v>1638.75</v>
      </c>
      <c r="C343" s="42">
        <v>16614.599609375</v>
      </c>
      <c r="D343" s="289">
        <f t="shared" si="10"/>
        <v>3.1122785775284361E-3</v>
      </c>
      <c r="E343" s="289">
        <f t="shared" si="11"/>
        <v>-1.0476405918550574E-2</v>
      </c>
      <c r="F343" s="14"/>
      <c r="G343" s="14"/>
    </row>
    <row r="344" spans="1:7" ht="14.25" customHeight="1" x14ac:dyDescent="0.3">
      <c r="A344" s="41">
        <v>44426</v>
      </c>
      <c r="B344" s="42">
        <v>1632.84997558594</v>
      </c>
      <c r="C344" s="42">
        <v>16568.849609375</v>
      </c>
      <c r="D344" s="289">
        <f t="shared" si="10"/>
        <v>-2.7536023181795473E-3</v>
      </c>
      <c r="E344" s="289">
        <f t="shared" si="11"/>
        <v>-3.6003200085797096E-3</v>
      </c>
      <c r="F344" s="14"/>
      <c r="G344" s="14"/>
    </row>
    <row r="345" spans="1:7" ht="14.25" customHeight="1" x14ac:dyDescent="0.3">
      <c r="A345" s="41">
        <v>44428</v>
      </c>
      <c r="B345" s="42">
        <v>1593.59997558594</v>
      </c>
      <c r="C345" s="42">
        <v>16450.5</v>
      </c>
      <c r="D345" s="289">
        <f t="shared" si="10"/>
        <v>-7.142898400624949E-3</v>
      </c>
      <c r="E345" s="289">
        <f t="shared" si="11"/>
        <v>-2.4037725808775137E-2</v>
      </c>
      <c r="F345" s="14"/>
      <c r="G345" s="14"/>
    </row>
    <row r="346" spans="1:7" ht="14.25" customHeight="1" x14ac:dyDescent="0.3">
      <c r="A346" s="41">
        <v>44431</v>
      </c>
      <c r="B346" s="42">
        <v>1580.75</v>
      </c>
      <c r="C346" s="42">
        <v>16496.44921875</v>
      </c>
      <c r="D346" s="289">
        <f t="shared" si="10"/>
        <v>2.7931806783988329E-3</v>
      </c>
      <c r="E346" s="289">
        <f t="shared" si="11"/>
        <v>-8.0634888195296826E-3</v>
      </c>
      <c r="F346" s="14"/>
      <c r="G346" s="14"/>
    </row>
    <row r="347" spans="1:7" ht="14.25" customHeight="1" x14ac:dyDescent="0.3">
      <c r="A347" s="41">
        <v>44432</v>
      </c>
      <c r="B347" s="42">
        <v>1605.80004882813</v>
      </c>
      <c r="C347" s="42">
        <v>16624.599609375</v>
      </c>
      <c r="D347" s="289">
        <f t="shared" si="10"/>
        <v>7.7683620836017982E-3</v>
      </c>
      <c r="E347" s="289">
        <f t="shared" si="11"/>
        <v>1.5846939002454534E-2</v>
      </c>
      <c r="F347" s="14"/>
      <c r="G347" s="14"/>
    </row>
    <row r="348" spans="1:7" ht="14.25" customHeight="1" x14ac:dyDescent="0.3">
      <c r="A348" s="41">
        <v>44433</v>
      </c>
      <c r="B348" s="42">
        <v>1593.80004882813</v>
      </c>
      <c r="C348" s="42">
        <v>16634.650390625</v>
      </c>
      <c r="D348" s="289">
        <f t="shared" si="10"/>
        <v>6.0457283099510741E-4</v>
      </c>
      <c r="E348" s="289">
        <f t="shared" si="11"/>
        <v>-7.4729104714857117E-3</v>
      </c>
      <c r="F348" s="14"/>
      <c r="G348" s="14"/>
    </row>
    <row r="349" spans="1:7" ht="14.25" customHeight="1" x14ac:dyDescent="0.3">
      <c r="A349" s="41">
        <v>44434</v>
      </c>
      <c r="B349" s="42">
        <v>1595.75</v>
      </c>
      <c r="C349" s="42">
        <v>16636.900390625</v>
      </c>
      <c r="D349" s="289">
        <f t="shared" si="10"/>
        <v>1.3525983096513173E-4</v>
      </c>
      <c r="E349" s="289">
        <f t="shared" si="11"/>
        <v>1.2234603539532669E-3</v>
      </c>
      <c r="F349" s="14"/>
      <c r="G349" s="14"/>
    </row>
    <row r="350" spans="1:7" ht="14.25" customHeight="1" x14ac:dyDescent="0.3">
      <c r="A350" s="41">
        <v>44435</v>
      </c>
      <c r="B350" s="42">
        <v>1638.09997558594</v>
      </c>
      <c r="C350" s="42">
        <v>16705.19921875</v>
      </c>
      <c r="D350" s="289">
        <f t="shared" si="10"/>
        <v>4.1052615884799564E-3</v>
      </c>
      <c r="E350" s="289">
        <f t="shared" si="11"/>
        <v>2.653922956975717E-2</v>
      </c>
      <c r="F350" s="14"/>
      <c r="G350" s="14"/>
    </row>
    <row r="351" spans="1:7" ht="14.25" customHeight="1" x14ac:dyDescent="0.3">
      <c r="A351" s="41">
        <v>44438</v>
      </c>
      <c r="B351" s="42">
        <v>1660.09997558594</v>
      </c>
      <c r="C351" s="42">
        <v>16931.05078125</v>
      </c>
      <c r="D351" s="289">
        <f t="shared" si="10"/>
        <v>1.3519836521704158E-2</v>
      </c>
      <c r="E351" s="289">
        <f t="shared" si="11"/>
        <v>1.3430193717041423E-2</v>
      </c>
      <c r="F351" s="14"/>
      <c r="G351" s="14"/>
    </row>
    <row r="352" spans="1:7" ht="14.25" customHeight="1" x14ac:dyDescent="0.3">
      <c r="A352" s="41">
        <v>44439</v>
      </c>
      <c r="B352" s="42">
        <v>1672.19995117188</v>
      </c>
      <c r="C352" s="42">
        <v>17132.19921875</v>
      </c>
      <c r="D352" s="289">
        <f t="shared" si="10"/>
        <v>1.1880446175423345E-2</v>
      </c>
      <c r="E352" s="289">
        <f t="shared" si="11"/>
        <v>7.2887029479470102E-3</v>
      </c>
      <c r="F352" s="14"/>
      <c r="G352" s="14"/>
    </row>
    <row r="353" spans="1:7" ht="14.25" customHeight="1" x14ac:dyDescent="0.3">
      <c r="A353" s="41">
        <v>44440</v>
      </c>
      <c r="B353" s="42">
        <v>1686.40002441406</v>
      </c>
      <c r="C353" s="42">
        <v>17076.25</v>
      </c>
      <c r="D353" s="289">
        <f t="shared" si="10"/>
        <v>-3.2657347743637881E-3</v>
      </c>
      <c r="E353" s="289">
        <f t="shared" si="11"/>
        <v>8.4918512479494855E-3</v>
      </c>
      <c r="F353" s="14"/>
      <c r="G353" s="14"/>
    </row>
    <row r="354" spans="1:7" ht="14.25" customHeight="1" x14ac:dyDescent="0.3">
      <c r="A354" s="41">
        <v>44441</v>
      </c>
      <c r="B354" s="42">
        <v>1686.19995117188</v>
      </c>
      <c r="C354" s="42">
        <v>17234.150390625</v>
      </c>
      <c r="D354" s="289">
        <f t="shared" si="10"/>
        <v>9.2467837273991649E-3</v>
      </c>
      <c r="E354" s="289">
        <f t="shared" si="11"/>
        <v>-1.1863925479336502E-4</v>
      </c>
      <c r="F354" s="14"/>
      <c r="G354" s="14"/>
    </row>
    <row r="355" spans="1:7" ht="14.25" customHeight="1" x14ac:dyDescent="0.3">
      <c r="A355" s="41">
        <v>44442</v>
      </c>
      <c r="B355" s="42">
        <v>1691.5</v>
      </c>
      <c r="C355" s="42">
        <v>17323.599609375</v>
      </c>
      <c r="D355" s="289">
        <f t="shared" si="10"/>
        <v>5.1902308336974016E-3</v>
      </c>
      <c r="E355" s="289">
        <f t="shared" si="11"/>
        <v>3.1431911882315944E-3</v>
      </c>
      <c r="F355" s="14"/>
      <c r="G355" s="14"/>
    </row>
    <row r="356" spans="1:7" ht="14.25" customHeight="1" x14ac:dyDescent="0.3">
      <c r="A356" s="41">
        <v>44445</v>
      </c>
      <c r="B356" s="42">
        <v>1694.19995117188</v>
      </c>
      <c r="C356" s="42">
        <v>17377.80078125</v>
      </c>
      <c r="D356" s="289">
        <f t="shared" si="10"/>
        <v>3.1287476677576867E-3</v>
      </c>
      <c r="E356" s="289">
        <f t="shared" si="11"/>
        <v>1.5961875092403205E-3</v>
      </c>
      <c r="F356" s="14"/>
      <c r="G356" s="14"/>
    </row>
    <row r="357" spans="1:7" ht="14.25" customHeight="1" x14ac:dyDescent="0.3">
      <c r="A357" s="41">
        <v>44446</v>
      </c>
      <c r="B357" s="42">
        <v>1681.69995117188</v>
      </c>
      <c r="C357" s="42">
        <v>17362.099609375</v>
      </c>
      <c r="D357" s="289">
        <f t="shared" si="10"/>
        <v>-9.0351892466974189E-4</v>
      </c>
      <c r="E357" s="289">
        <f t="shared" si="11"/>
        <v>-7.3781137765667722E-3</v>
      </c>
      <c r="F357" s="14"/>
      <c r="G357" s="14"/>
    </row>
    <row r="358" spans="1:7" ht="14.25" customHeight="1" x14ac:dyDescent="0.3">
      <c r="A358" s="41">
        <v>44447</v>
      </c>
      <c r="B358" s="42">
        <v>1666.55004882813</v>
      </c>
      <c r="C358" s="42">
        <v>17353.5</v>
      </c>
      <c r="D358" s="289">
        <f t="shared" si="10"/>
        <v>-4.9530929832682655E-4</v>
      </c>
      <c r="E358" s="289">
        <f t="shared" si="11"/>
        <v>-9.0086833463917885E-3</v>
      </c>
      <c r="F358" s="14"/>
      <c r="G358" s="14"/>
    </row>
    <row r="359" spans="1:7" ht="14.25" customHeight="1" x14ac:dyDescent="0.3">
      <c r="A359" s="41">
        <v>44448</v>
      </c>
      <c r="B359" s="42">
        <v>1670.05004882813</v>
      </c>
      <c r="C359" s="42">
        <v>17369.25</v>
      </c>
      <c r="D359" s="289">
        <f t="shared" si="10"/>
        <v>9.0759789091537728E-4</v>
      </c>
      <c r="E359" s="289">
        <f t="shared" si="11"/>
        <v>2.1001469487586643E-3</v>
      </c>
      <c r="F359" s="14"/>
      <c r="G359" s="14"/>
    </row>
    <row r="360" spans="1:7" ht="14.25" customHeight="1" x14ac:dyDescent="0.3">
      <c r="A360" s="41">
        <v>44452</v>
      </c>
      <c r="B360" s="42">
        <v>1671.69995117188</v>
      </c>
      <c r="C360" s="42">
        <v>17355.30078125</v>
      </c>
      <c r="D360" s="289">
        <f t="shared" si="10"/>
        <v>-8.0309850741972161E-4</v>
      </c>
      <c r="E360" s="289">
        <f t="shared" si="11"/>
        <v>9.8793586749554752E-4</v>
      </c>
      <c r="F360" s="14"/>
      <c r="G360" s="14"/>
    </row>
    <row r="361" spans="1:7" ht="14.25" customHeight="1" x14ac:dyDescent="0.3">
      <c r="A361" s="41">
        <v>44453</v>
      </c>
      <c r="B361" s="42">
        <v>1696.44995117188</v>
      </c>
      <c r="C361" s="42">
        <v>17380</v>
      </c>
      <c r="D361" s="289">
        <f t="shared" si="10"/>
        <v>1.4231512931590379E-3</v>
      </c>
      <c r="E361" s="289">
        <f t="shared" si="11"/>
        <v>1.4805288462591614E-2</v>
      </c>
      <c r="F361" s="14"/>
      <c r="G361" s="14"/>
    </row>
    <row r="362" spans="1:7" ht="14.25" customHeight="1" x14ac:dyDescent="0.3">
      <c r="A362" s="41">
        <v>44454</v>
      </c>
      <c r="B362" s="42">
        <v>1717</v>
      </c>
      <c r="C362" s="42">
        <v>17519.44921875</v>
      </c>
      <c r="D362" s="289">
        <f t="shared" si="10"/>
        <v>8.0235453826237053E-3</v>
      </c>
      <c r="E362" s="289">
        <f t="shared" si="11"/>
        <v>1.2113560328687774E-2</v>
      </c>
      <c r="F362" s="14"/>
      <c r="G362" s="14"/>
    </row>
    <row r="363" spans="1:7" ht="14.25" customHeight="1" x14ac:dyDescent="0.3">
      <c r="A363" s="41">
        <v>44455</v>
      </c>
      <c r="B363" s="42">
        <v>1721.25</v>
      </c>
      <c r="C363" s="42">
        <v>17629.5</v>
      </c>
      <c r="D363" s="289">
        <f t="shared" si="10"/>
        <v>6.2816347635072543E-3</v>
      </c>
      <c r="E363" s="289">
        <f t="shared" si="11"/>
        <v>2.4752475247524753E-3</v>
      </c>
      <c r="F363" s="14"/>
      <c r="G363" s="14"/>
    </row>
    <row r="364" spans="1:7" ht="14.25" customHeight="1" x14ac:dyDescent="0.3">
      <c r="A364" s="41">
        <v>44456</v>
      </c>
      <c r="B364" s="42">
        <v>1716.19995117188</v>
      </c>
      <c r="C364" s="42">
        <v>17585.150390625</v>
      </c>
      <c r="D364" s="289">
        <f t="shared" si="10"/>
        <v>-2.5156476006126098E-3</v>
      </c>
      <c r="E364" s="289">
        <f t="shared" si="11"/>
        <v>-2.9339426742890327E-3</v>
      </c>
      <c r="F364" s="14"/>
      <c r="G364" s="14"/>
    </row>
    <row r="365" spans="1:7" ht="14.25" customHeight="1" x14ac:dyDescent="0.3">
      <c r="A365" s="41">
        <v>44459</v>
      </c>
      <c r="B365" s="42">
        <v>1704.34997558594</v>
      </c>
      <c r="C365" s="42">
        <v>17396.900390625</v>
      </c>
      <c r="D365" s="289">
        <f t="shared" si="10"/>
        <v>-1.0705054879733066E-2</v>
      </c>
      <c r="E365" s="289">
        <f t="shared" si="11"/>
        <v>-6.9047756223559109E-3</v>
      </c>
      <c r="F365" s="14"/>
      <c r="G365" s="14"/>
    </row>
    <row r="366" spans="1:7" ht="14.25" customHeight="1" x14ac:dyDescent="0.3">
      <c r="A366" s="41">
        <v>44460</v>
      </c>
      <c r="B366" s="42">
        <v>1720.90002441406</v>
      </c>
      <c r="C366" s="42">
        <v>17562</v>
      </c>
      <c r="D366" s="289">
        <f t="shared" si="10"/>
        <v>9.4901738624640509E-3</v>
      </c>
      <c r="E366" s="289">
        <f t="shared" si="11"/>
        <v>9.7104755861132583E-3</v>
      </c>
      <c r="F366" s="14"/>
      <c r="G366" s="14"/>
    </row>
    <row r="367" spans="1:7" ht="14.25" customHeight="1" x14ac:dyDescent="0.3">
      <c r="A367" s="41">
        <v>44461</v>
      </c>
      <c r="B367" s="42">
        <v>1710.90002441406</v>
      </c>
      <c r="C367" s="42">
        <v>17546.650390625</v>
      </c>
      <c r="D367" s="289">
        <f t="shared" si="10"/>
        <v>-8.7402399356565307E-4</v>
      </c>
      <c r="E367" s="289">
        <f t="shared" si="11"/>
        <v>-5.8109128119774684E-3</v>
      </c>
      <c r="F367" s="14"/>
      <c r="G367" s="14"/>
    </row>
    <row r="368" spans="1:7" ht="14.25" customHeight="1" x14ac:dyDescent="0.3">
      <c r="A368" s="41">
        <v>44462</v>
      </c>
      <c r="B368" s="42">
        <v>1769.69995117188</v>
      </c>
      <c r="C368" s="42">
        <v>17822.94921875</v>
      </c>
      <c r="D368" s="289">
        <f t="shared" si="10"/>
        <v>1.5746528367181906E-2</v>
      </c>
      <c r="E368" s="289">
        <f t="shared" si="11"/>
        <v>3.4367833256626137E-2</v>
      </c>
      <c r="F368" s="14"/>
      <c r="G368" s="14"/>
    </row>
    <row r="369" spans="1:7" ht="14.25" customHeight="1" x14ac:dyDescent="0.3">
      <c r="A369" s="41">
        <v>44463</v>
      </c>
      <c r="B369" s="42">
        <v>1768.75</v>
      </c>
      <c r="C369" s="42">
        <v>17853.19921875</v>
      </c>
      <c r="D369" s="289">
        <f t="shared" si="10"/>
        <v>1.6972499684943592E-3</v>
      </c>
      <c r="E369" s="289">
        <f t="shared" si="11"/>
        <v>-5.3678657291647254E-4</v>
      </c>
      <c r="F369" s="14"/>
      <c r="G369" s="14"/>
    </row>
    <row r="370" spans="1:7" ht="14.25" customHeight="1" x14ac:dyDescent="0.3">
      <c r="A370" s="41">
        <v>44466</v>
      </c>
      <c r="B370" s="42">
        <v>1739.59997558594</v>
      </c>
      <c r="C370" s="42">
        <v>17855.099609375</v>
      </c>
      <c r="D370" s="289">
        <f t="shared" si="10"/>
        <v>1.0644538279750718E-4</v>
      </c>
      <c r="E370" s="289">
        <f t="shared" si="11"/>
        <v>-1.6480579174026854E-2</v>
      </c>
      <c r="F370" s="14"/>
      <c r="G370" s="14"/>
    </row>
    <row r="371" spans="1:7" ht="14.25" customHeight="1" x14ac:dyDescent="0.3">
      <c r="A371" s="41">
        <v>44467</v>
      </c>
      <c r="B371" s="42">
        <v>1737.15002441406</v>
      </c>
      <c r="C371" s="42">
        <v>17748.599609375</v>
      </c>
      <c r="D371" s="289">
        <f t="shared" si="10"/>
        <v>-5.9646824901543032E-3</v>
      </c>
      <c r="E371" s="289">
        <f t="shared" si="11"/>
        <v>-1.4083416913447579E-3</v>
      </c>
      <c r="F371" s="14"/>
      <c r="G371" s="14"/>
    </row>
    <row r="372" spans="1:7" ht="14.25" customHeight="1" x14ac:dyDescent="0.3">
      <c r="A372" s="41">
        <v>44468</v>
      </c>
      <c r="B372" s="42">
        <v>1721</v>
      </c>
      <c r="C372" s="42">
        <v>17711.30078125</v>
      </c>
      <c r="D372" s="289">
        <f t="shared" si="10"/>
        <v>-2.1015082285871364E-3</v>
      </c>
      <c r="E372" s="289">
        <f t="shared" si="11"/>
        <v>-9.2968506963049414E-3</v>
      </c>
      <c r="F372" s="14"/>
      <c r="G372" s="14"/>
    </row>
    <row r="373" spans="1:7" ht="14.25" customHeight="1" x14ac:dyDescent="0.3">
      <c r="A373" s="41">
        <v>44469</v>
      </c>
      <c r="B373" s="42">
        <v>1702.94995117188</v>
      </c>
      <c r="C373" s="42">
        <v>17618.150390625</v>
      </c>
      <c r="D373" s="289">
        <f t="shared" si="10"/>
        <v>-5.2593760207388773E-3</v>
      </c>
      <c r="E373" s="289">
        <f t="shared" si="11"/>
        <v>-1.0488116692690294E-2</v>
      </c>
      <c r="F373" s="14"/>
      <c r="G373" s="14"/>
    </row>
    <row r="374" spans="1:7" ht="14.25" customHeight="1" x14ac:dyDescent="0.3">
      <c r="A374" s="41">
        <v>44470</v>
      </c>
      <c r="B374" s="42">
        <v>1696.90002441406</v>
      </c>
      <c r="C374" s="42">
        <v>17532.05078125</v>
      </c>
      <c r="D374" s="289">
        <f t="shared" si="10"/>
        <v>-4.8869834497959255E-3</v>
      </c>
      <c r="E374" s="289">
        <f t="shared" si="11"/>
        <v>-3.5526157146642881E-3</v>
      </c>
      <c r="F374" s="14"/>
      <c r="G374" s="14"/>
    </row>
    <row r="375" spans="1:7" ht="14.25" customHeight="1" x14ac:dyDescent="0.3">
      <c r="A375" s="41">
        <v>44473</v>
      </c>
      <c r="B375" s="42">
        <v>1715.25</v>
      </c>
      <c r="C375" s="42">
        <v>17691.25</v>
      </c>
      <c r="D375" s="289">
        <f t="shared" si="10"/>
        <v>9.080467581137671E-3</v>
      </c>
      <c r="E375" s="289">
        <f t="shared" si="11"/>
        <v>1.0813822453845654E-2</v>
      </c>
      <c r="F375" s="14"/>
      <c r="G375" s="14"/>
    </row>
    <row r="376" spans="1:7" ht="14.25" customHeight="1" x14ac:dyDescent="0.3">
      <c r="A376" s="41">
        <v>44474</v>
      </c>
      <c r="B376" s="42">
        <v>1716.69995117188</v>
      </c>
      <c r="C376" s="42">
        <v>17822.30078125</v>
      </c>
      <c r="D376" s="289">
        <f t="shared" si="10"/>
        <v>7.4076609199463014E-3</v>
      </c>
      <c r="E376" s="289">
        <f t="shared" si="11"/>
        <v>8.4532935250255191E-4</v>
      </c>
      <c r="F376" s="14"/>
      <c r="G376" s="14"/>
    </row>
    <row r="377" spans="1:7" ht="14.25" customHeight="1" x14ac:dyDescent="0.3">
      <c r="A377" s="41">
        <v>44475</v>
      </c>
      <c r="B377" s="42">
        <v>1695.05004882813</v>
      </c>
      <c r="C377" s="42">
        <v>17646</v>
      </c>
      <c r="D377" s="289">
        <f t="shared" si="10"/>
        <v>-9.8921448702895716E-3</v>
      </c>
      <c r="E377" s="289">
        <f t="shared" si="11"/>
        <v>-1.2611349076448107E-2</v>
      </c>
      <c r="F377" s="14"/>
      <c r="G377" s="14"/>
    </row>
    <row r="378" spans="1:7" ht="14.25" customHeight="1" x14ac:dyDescent="0.3">
      <c r="A378" s="41">
        <v>44476</v>
      </c>
      <c r="B378" s="42">
        <v>1712.44995117188</v>
      </c>
      <c r="C378" s="42">
        <v>17790.349609375</v>
      </c>
      <c r="D378" s="289">
        <f t="shared" si="10"/>
        <v>8.1803020160376282E-3</v>
      </c>
      <c r="E378" s="289">
        <f t="shared" si="11"/>
        <v>1.0265126009570864E-2</v>
      </c>
      <c r="F378" s="14"/>
      <c r="G378" s="14"/>
    </row>
    <row r="379" spans="1:7" ht="14.25" customHeight="1" x14ac:dyDescent="0.3">
      <c r="A379" s="41">
        <v>44477</v>
      </c>
      <c r="B379" s="42">
        <v>1726.90002441406</v>
      </c>
      <c r="C379" s="42">
        <v>17895.19921875</v>
      </c>
      <c r="D379" s="289">
        <f t="shared" si="10"/>
        <v>5.8936227604963589E-3</v>
      </c>
      <c r="E379" s="289">
        <f t="shared" si="11"/>
        <v>8.4382455862674326E-3</v>
      </c>
      <c r="F379" s="14"/>
      <c r="G379" s="14"/>
    </row>
    <row r="380" spans="1:7" ht="14.25" customHeight="1" x14ac:dyDescent="0.3">
      <c r="A380" s="41">
        <v>44480</v>
      </c>
      <c r="B380" s="42">
        <v>1716.90002441406</v>
      </c>
      <c r="C380" s="42">
        <v>17945.94921875</v>
      </c>
      <c r="D380" s="289">
        <f t="shared" si="10"/>
        <v>2.8359561343595336E-3</v>
      </c>
      <c r="E380" s="289">
        <f t="shared" si="11"/>
        <v>-5.7907231794689538E-3</v>
      </c>
      <c r="F380" s="14"/>
      <c r="G380" s="14"/>
    </row>
    <row r="381" spans="1:7" ht="14.25" customHeight="1" x14ac:dyDescent="0.3">
      <c r="A381" s="41">
        <v>44481</v>
      </c>
      <c r="B381" s="42">
        <v>1718.19995117188</v>
      </c>
      <c r="C381" s="42">
        <v>17991.94921875</v>
      </c>
      <c r="D381" s="289">
        <f t="shared" si="10"/>
        <v>2.5632525445875558E-3</v>
      </c>
      <c r="E381" s="289">
        <f t="shared" si="11"/>
        <v>7.5713596559801998E-4</v>
      </c>
      <c r="F381" s="14"/>
      <c r="G381" s="14"/>
    </row>
    <row r="382" spans="1:7" ht="14.25" customHeight="1" x14ac:dyDescent="0.3">
      <c r="A382" s="41">
        <v>44482</v>
      </c>
      <c r="B382" s="42">
        <v>1752.05004882813</v>
      </c>
      <c r="C382" s="42">
        <v>18161.75</v>
      </c>
      <c r="D382" s="289">
        <f t="shared" si="10"/>
        <v>9.4375978492116375E-3</v>
      </c>
      <c r="E382" s="289">
        <f t="shared" si="11"/>
        <v>1.9700907122691336E-2</v>
      </c>
      <c r="F382" s="14"/>
      <c r="G382" s="14"/>
    </row>
    <row r="383" spans="1:7" ht="14.25" customHeight="1" x14ac:dyDescent="0.3">
      <c r="A383" s="41">
        <v>44483</v>
      </c>
      <c r="B383" s="42">
        <v>1789.30004882813</v>
      </c>
      <c r="C383" s="42">
        <v>18338.55078125</v>
      </c>
      <c r="D383" s="289">
        <f t="shared" si="10"/>
        <v>9.7347877407188178E-3</v>
      </c>
      <c r="E383" s="289">
        <f t="shared" si="11"/>
        <v>2.1260808174352611E-2</v>
      </c>
      <c r="F383" s="14"/>
      <c r="G383" s="14"/>
    </row>
    <row r="384" spans="1:7" ht="14.25" customHeight="1" x14ac:dyDescent="0.3">
      <c r="A384" s="41">
        <v>44487</v>
      </c>
      <c r="B384" s="42">
        <v>1788.44995117188</v>
      </c>
      <c r="C384" s="42">
        <v>18477.05078125</v>
      </c>
      <c r="D384" s="289">
        <f t="shared" si="10"/>
        <v>7.5523961327198996E-3</v>
      </c>
      <c r="E384" s="289">
        <f t="shared" si="11"/>
        <v>-4.7510067235886807E-4</v>
      </c>
      <c r="F384" s="14"/>
      <c r="G384" s="14"/>
    </row>
    <row r="385" spans="1:7" ht="14.25" customHeight="1" x14ac:dyDescent="0.3">
      <c r="A385" s="41">
        <v>44488</v>
      </c>
      <c r="B385" s="42">
        <v>1846.05004882813</v>
      </c>
      <c r="C385" s="42">
        <v>18418.75</v>
      </c>
      <c r="D385" s="289">
        <f t="shared" si="10"/>
        <v>-3.1553077349964326E-3</v>
      </c>
      <c r="E385" s="289">
        <f t="shared" si="11"/>
        <v>3.2206714880954647E-2</v>
      </c>
      <c r="F385" s="14"/>
      <c r="G385" s="14"/>
    </row>
    <row r="386" spans="1:7" ht="14.25" customHeight="1" x14ac:dyDescent="0.3">
      <c r="A386" s="41">
        <v>44489</v>
      </c>
      <c r="B386" s="42">
        <v>1806.69995117188</v>
      </c>
      <c r="C386" s="42">
        <v>18266.599609375</v>
      </c>
      <c r="D386" s="289">
        <f t="shared" si="10"/>
        <v>-8.2606252120800815E-3</v>
      </c>
      <c r="E386" s="289">
        <f t="shared" si="11"/>
        <v>-2.1315834682396281E-2</v>
      </c>
      <c r="F386" s="14"/>
      <c r="G386" s="14"/>
    </row>
    <row r="387" spans="1:7" ht="14.25" customHeight="1" x14ac:dyDescent="0.3">
      <c r="A387" s="41">
        <v>44490</v>
      </c>
      <c r="B387" s="42">
        <v>1805.75</v>
      </c>
      <c r="C387" s="42">
        <v>18178.099609375</v>
      </c>
      <c r="D387" s="289">
        <f t="shared" ref="D387:D450" si="12">(C387-C386)/C386</f>
        <v>-4.8449082967023036E-3</v>
      </c>
      <c r="E387" s="289">
        <f t="shared" ref="E387:E450" si="13">(B387-B386)/B386</f>
        <v>-5.2579354489041489E-4</v>
      </c>
      <c r="F387" s="14"/>
      <c r="G387" s="14"/>
    </row>
    <row r="388" spans="1:7" ht="14.25" customHeight="1" x14ac:dyDescent="0.3">
      <c r="A388" s="41">
        <v>44491</v>
      </c>
      <c r="B388" s="42">
        <v>1792.25</v>
      </c>
      <c r="C388" s="42">
        <v>18114.900390625</v>
      </c>
      <c r="D388" s="289">
        <f t="shared" si="12"/>
        <v>-3.4766680845673349E-3</v>
      </c>
      <c r="E388" s="289">
        <f t="shared" si="13"/>
        <v>-7.4761179565277589E-3</v>
      </c>
      <c r="F388" s="14"/>
      <c r="G388" s="14"/>
    </row>
    <row r="389" spans="1:7" ht="14.25" customHeight="1" x14ac:dyDescent="0.3">
      <c r="A389" s="41">
        <v>44494</v>
      </c>
      <c r="B389" s="42">
        <v>1784.15002441406</v>
      </c>
      <c r="C389" s="42">
        <v>18125.400390625</v>
      </c>
      <c r="D389" s="289">
        <f t="shared" si="12"/>
        <v>5.7963332801068358E-4</v>
      </c>
      <c r="E389" s="289">
        <f t="shared" si="13"/>
        <v>-4.5194451588450278E-3</v>
      </c>
      <c r="F389" s="14"/>
      <c r="G389" s="14"/>
    </row>
    <row r="390" spans="1:7" ht="14.25" customHeight="1" x14ac:dyDescent="0.3">
      <c r="A390" s="41">
        <v>44495</v>
      </c>
      <c r="B390" s="42">
        <v>1796.25</v>
      </c>
      <c r="C390" s="42">
        <v>18268.400390625</v>
      </c>
      <c r="D390" s="289">
        <f t="shared" si="12"/>
        <v>7.8894808897001737E-3</v>
      </c>
      <c r="E390" s="289">
        <f t="shared" si="13"/>
        <v>6.7819272036351332E-3</v>
      </c>
      <c r="F390" s="14"/>
      <c r="G390" s="14"/>
    </row>
    <row r="391" spans="1:7" ht="14.25" customHeight="1" x14ac:dyDescent="0.3">
      <c r="A391" s="41">
        <v>44496</v>
      </c>
      <c r="B391" s="42">
        <v>1784.55004882813</v>
      </c>
      <c r="C391" s="42">
        <v>18210.94921875</v>
      </c>
      <c r="D391" s="289">
        <f t="shared" si="12"/>
        <v>-3.144838663842887E-3</v>
      </c>
      <c r="E391" s="289">
        <f t="shared" si="13"/>
        <v>-6.5135427539986072E-3</v>
      </c>
      <c r="F391" s="14"/>
      <c r="G391" s="14"/>
    </row>
    <row r="392" spans="1:7" ht="14.25" customHeight="1" x14ac:dyDescent="0.3">
      <c r="A392" s="41">
        <v>44497</v>
      </c>
      <c r="B392" s="42">
        <v>1814.25</v>
      </c>
      <c r="C392" s="42">
        <v>17857.25</v>
      </c>
      <c r="D392" s="289">
        <f t="shared" si="12"/>
        <v>-1.942233842406365E-2</v>
      </c>
      <c r="E392" s="289">
        <f t="shared" si="13"/>
        <v>1.6642823321975881E-2</v>
      </c>
      <c r="F392" s="14"/>
      <c r="G392" s="14"/>
    </row>
    <row r="393" spans="1:7" ht="14.25" customHeight="1" x14ac:dyDescent="0.3">
      <c r="A393" s="41">
        <v>44498</v>
      </c>
      <c r="B393" s="42">
        <v>1766.65002441406</v>
      </c>
      <c r="C393" s="42">
        <v>17671.650390625</v>
      </c>
      <c r="D393" s="289">
        <f t="shared" si="12"/>
        <v>-1.0393515763905417E-2</v>
      </c>
      <c r="E393" s="289">
        <f t="shared" si="13"/>
        <v>-2.623672348680722E-2</v>
      </c>
      <c r="F393" s="14"/>
      <c r="G393" s="14"/>
    </row>
    <row r="394" spans="1:7" ht="14.25" customHeight="1" x14ac:dyDescent="0.3">
      <c r="A394" s="41">
        <v>44501</v>
      </c>
      <c r="B394" s="42">
        <v>1795.34997558594</v>
      </c>
      <c r="C394" s="42">
        <v>17929.650390625</v>
      </c>
      <c r="D394" s="289">
        <f t="shared" si="12"/>
        <v>1.4599655057507915E-2</v>
      </c>
      <c r="E394" s="289">
        <f t="shared" si="13"/>
        <v>1.6245408414379547E-2</v>
      </c>
      <c r="F394" s="14"/>
      <c r="G394" s="14"/>
    </row>
    <row r="395" spans="1:7" ht="14.25" customHeight="1" x14ac:dyDescent="0.3">
      <c r="A395" s="41">
        <v>44502</v>
      </c>
      <c r="B395" s="42">
        <v>1815.65002441406</v>
      </c>
      <c r="C395" s="42">
        <v>17888.94921875</v>
      </c>
      <c r="D395" s="289">
        <f t="shared" si="12"/>
        <v>-2.2700482713417379E-3</v>
      </c>
      <c r="E395" s="289">
        <f t="shared" si="13"/>
        <v>1.1307014846225046E-2</v>
      </c>
      <c r="F395" s="14"/>
      <c r="G395" s="14"/>
    </row>
    <row r="396" spans="1:7" ht="14.25" customHeight="1" x14ac:dyDescent="0.3">
      <c r="A396" s="41">
        <v>44503</v>
      </c>
      <c r="B396" s="42">
        <v>1889.5</v>
      </c>
      <c r="C396" s="42">
        <v>17829.19921875</v>
      </c>
      <c r="D396" s="289">
        <f t="shared" si="12"/>
        <v>-3.3400508475575552E-3</v>
      </c>
      <c r="E396" s="289">
        <f t="shared" si="13"/>
        <v>4.0674124744812863E-2</v>
      </c>
      <c r="F396" s="14"/>
      <c r="G396" s="14"/>
    </row>
    <row r="397" spans="1:7" ht="14.25" customHeight="1" x14ac:dyDescent="0.3">
      <c r="A397" s="41">
        <v>44504</v>
      </c>
      <c r="B397" s="42">
        <v>1908.94995117188</v>
      </c>
      <c r="C397" s="42">
        <v>17916.80078125</v>
      </c>
      <c r="D397" s="289">
        <f t="shared" si="12"/>
        <v>4.9133761659847404E-3</v>
      </c>
      <c r="E397" s="289">
        <f t="shared" si="13"/>
        <v>1.0293702657782483E-2</v>
      </c>
      <c r="F397" s="14"/>
      <c r="G397" s="14"/>
    </row>
    <row r="398" spans="1:7" ht="14.25" customHeight="1" x14ac:dyDescent="0.3">
      <c r="A398" s="41">
        <v>44508</v>
      </c>
      <c r="B398" s="42">
        <v>1924.55004882813</v>
      </c>
      <c r="C398" s="42">
        <v>18068.55078125</v>
      </c>
      <c r="D398" s="289">
        <f t="shared" si="12"/>
        <v>8.4697040421863115E-3</v>
      </c>
      <c r="E398" s="289">
        <f t="shared" si="13"/>
        <v>8.1720831112797373E-3</v>
      </c>
      <c r="F398" s="14"/>
      <c r="G398" s="14"/>
    </row>
    <row r="399" spans="1:7" ht="14.25" customHeight="1" x14ac:dyDescent="0.3">
      <c r="A399" s="41">
        <v>44509</v>
      </c>
      <c r="B399" s="42">
        <v>1943.59997558594</v>
      </c>
      <c r="C399" s="42">
        <v>18044.25</v>
      </c>
      <c r="D399" s="289">
        <f t="shared" si="12"/>
        <v>-1.3449214352717915E-3</v>
      </c>
      <c r="E399" s="289">
        <f t="shared" si="13"/>
        <v>9.89837950403504E-3</v>
      </c>
      <c r="F399" s="14"/>
      <c r="G399" s="14"/>
    </row>
    <row r="400" spans="1:7" ht="14.25" customHeight="1" x14ac:dyDescent="0.3">
      <c r="A400" s="41">
        <v>44510</v>
      </c>
      <c r="B400" s="42">
        <v>1950.15002441406</v>
      </c>
      <c r="C400" s="42">
        <v>18017.19921875</v>
      </c>
      <c r="D400" s="289">
        <f t="shared" si="12"/>
        <v>-1.499135805034845E-3</v>
      </c>
      <c r="E400" s="289">
        <f t="shared" si="13"/>
        <v>3.3700601514698746E-3</v>
      </c>
      <c r="F400" s="14"/>
      <c r="G400" s="14"/>
    </row>
    <row r="401" spans="1:7" ht="14.25" customHeight="1" x14ac:dyDescent="0.3">
      <c r="A401" s="41">
        <v>44511</v>
      </c>
      <c r="B401" s="42">
        <v>1931.69995117188</v>
      </c>
      <c r="C401" s="42">
        <v>17873.599609375</v>
      </c>
      <c r="D401" s="289">
        <f t="shared" si="12"/>
        <v>-7.970140510271978E-3</v>
      </c>
      <c r="E401" s="289">
        <f t="shared" si="13"/>
        <v>-9.4608481456309942E-3</v>
      </c>
      <c r="F401" s="14"/>
      <c r="G401" s="14"/>
    </row>
    <row r="402" spans="1:7" ht="14.25" customHeight="1" x14ac:dyDescent="0.3">
      <c r="A402" s="41">
        <v>44512</v>
      </c>
      <c r="B402" s="42">
        <v>1959.94995117188</v>
      </c>
      <c r="C402" s="42">
        <v>18102.75</v>
      </c>
      <c r="D402" s="289">
        <f t="shared" si="12"/>
        <v>1.2820606684330492E-2</v>
      </c>
      <c r="E402" s="289">
        <f t="shared" si="13"/>
        <v>1.4624424452080112E-2</v>
      </c>
      <c r="F402" s="14"/>
      <c r="G402" s="14"/>
    </row>
    <row r="403" spans="1:7" ht="14.25" customHeight="1" x14ac:dyDescent="0.3">
      <c r="A403" s="41">
        <v>44515</v>
      </c>
      <c r="B403" s="42">
        <v>1947.05004882813</v>
      </c>
      <c r="C403" s="42">
        <v>18109.44921875</v>
      </c>
      <c r="D403" s="289">
        <f t="shared" si="12"/>
        <v>3.7006635732140142E-4</v>
      </c>
      <c r="E403" s="289">
        <f t="shared" si="13"/>
        <v>-6.5817508942189965E-3</v>
      </c>
      <c r="F403" s="14"/>
      <c r="G403" s="14"/>
    </row>
    <row r="404" spans="1:7" ht="14.25" customHeight="1" x14ac:dyDescent="0.3">
      <c r="A404" s="41">
        <v>44516</v>
      </c>
      <c r="B404" s="42">
        <v>1955.30004882813</v>
      </c>
      <c r="C404" s="42">
        <v>17999.19921875</v>
      </c>
      <c r="D404" s="289">
        <f t="shared" si="12"/>
        <v>-6.0879819517564533E-3</v>
      </c>
      <c r="E404" s="289">
        <f t="shared" si="13"/>
        <v>4.2371792163049034E-3</v>
      </c>
      <c r="F404" s="14"/>
      <c r="G404" s="14"/>
    </row>
    <row r="405" spans="1:7" ht="14.25" customHeight="1" x14ac:dyDescent="0.3">
      <c r="A405" s="41">
        <v>44517</v>
      </c>
      <c r="B405" s="42">
        <v>1952.90002441406</v>
      </c>
      <c r="C405" s="42">
        <v>17898.650390625</v>
      </c>
      <c r="D405" s="289">
        <f t="shared" si="12"/>
        <v>-5.5862945291619958E-3</v>
      </c>
      <c r="E405" s="289">
        <f t="shared" si="13"/>
        <v>-1.2274455859132259E-3</v>
      </c>
      <c r="F405" s="14"/>
      <c r="G405" s="14"/>
    </row>
    <row r="406" spans="1:7" ht="14.25" customHeight="1" x14ac:dyDescent="0.3">
      <c r="A406" s="41">
        <v>44518</v>
      </c>
      <c r="B406" s="42">
        <v>1897</v>
      </c>
      <c r="C406" s="42">
        <v>17764.80078125</v>
      </c>
      <c r="D406" s="289">
        <f t="shared" si="12"/>
        <v>-7.4781956434608098E-3</v>
      </c>
      <c r="E406" s="289">
        <f t="shared" si="13"/>
        <v>-2.862410963962787E-2</v>
      </c>
      <c r="F406" s="14"/>
      <c r="G406" s="14"/>
    </row>
    <row r="407" spans="1:7" ht="14.25" customHeight="1" x14ac:dyDescent="0.3">
      <c r="A407" s="41">
        <v>44522</v>
      </c>
      <c r="B407" s="42">
        <v>1864.5</v>
      </c>
      <c r="C407" s="42">
        <v>17416.55078125</v>
      </c>
      <c r="D407" s="289">
        <f t="shared" si="12"/>
        <v>-1.96033721001568E-2</v>
      </c>
      <c r="E407" s="289">
        <f t="shared" si="13"/>
        <v>-1.7132314180284661E-2</v>
      </c>
      <c r="F407" s="14"/>
      <c r="G407" s="14"/>
    </row>
    <row r="408" spans="1:7" ht="14.25" customHeight="1" x14ac:dyDescent="0.3">
      <c r="A408" s="41">
        <v>44523</v>
      </c>
      <c r="B408" s="42">
        <v>1886.34997558594</v>
      </c>
      <c r="C408" s="42">
        <v>17503.349609375</v>
      </c>
      <c r="D408" s="289">
        <f t="shared" si="12"/>
        <v>4.9836979327987458E-3</v>
      </c>
      <c r="E408" s="289">
        <f t="shared" si="13"/>
        <v>1.1718946412410834E-2</v>
      </c>
      <c r="F408" s="14"/>
      <c r="G408" s="14"/>
    </row>
    <row r="409" spans="1:7" ht="14.25" customHeight="1" x14ac:dyDescent="0.3">
      <c r="A409" s="41">
        <v>44524</v>
      </c>
      <c r="B409" s="42">
        <v>1862.5</v>
      </c>
      <c r="C409" s="42">
        <v>17415.05078125</v>
      </c>
      <c r="D409" s="289">
        <f t="shared" si="12"/>
        <v>-5.0446817378146927E-3</v>
      </c>
      <c r="E409" s="289">
        <f t="shared" si="13"/>
        <v>-1.2643452113668194E-2</v>
      </c>
      <c r="F409" s="14"/>
      <c r="G409" s="14"/>
    </row>
    <row r="410" spans="1:7" ht="14.25" customHeight="1" x14ac:dyDescent="0.3">
      <c r="A410" s="41">
        <v>44525</v>
      </c>
      <c r="B410" s="42">
        <v>1849.90002441406</v>
      </c>
      <c r="C410" s="42">
        <v>17536.25</v>
      </c>
      <c r="D410" s="289">
        <f t="shared" si="12"/>
        <v>6.9594525030320176E-3</v>
      </c>
      <c r="E410" s="289">
        <f t="shared" si="13"/>
        <v>-6.7650875629208058E-3</v>
      </c>
      <c r="F410" s="14"/>
      <c r="G410" s="14"/>
    </row>
    <row r="411" spans="1:7" ht="14.25" customHeight="1" x14ac:dyDescent="0.3">
      <c r="A411" s="41">
        <v>44526</v>
      </c>
      <c r="B411" s="42">
        <v>1778.15002441406</v>
      </c>
      <c r="C411" s="42">
        <v>17026.44921875</v>
      </c>
      <c r="D411" s="289">
        <f t="shared" si="12"/>
        <v>-2.9071254187753939E-2</v>
      </c>
      <c r="E411" s="289">
        <f t="shared" si="13"/>
        <v>-3.8785879805978273E-2</v>
      </c>
      <c r="F411" s="14"/>
      <c r="G411" s="14"/>
    </row>
    <row r="412" spans="1:7" ht="14.25" customHeight="1" x14ac:dyDescent="0.3">
      <c r="A412" s="41">
        <v>44529</v>
      </c>
      <c r="B412" s="42">
        <v>1767.25</v>
      </c>
      <c r="C412" s="42">
        <v>17053.94921875</v>
      </c>
      <c r="D412" s="289">
        <f t="shared" si="12"/>
        <v>1.615134174289037E-3</v>
      </c>
      <c r="E412" s="289">
        <f t="shared" si="13"/>
        <v>-6.1299801841252395E-3</v>
      </c>
      <c r="F412" s="14"/>
      <c r="G412" s="14"/>
    </row>
    <row r="413" spans="1:7" ht="14.25" customHeight="1" x14ac:dyDescent="0.3">
      <c r="A413" s="41">
        <v>44530</v>
      </c>
      <c r="B413" s="42">
        <v>1764.75</v>
      </c>
      <c r="C413" s="42">
        <v>16983.19921875</v>
      </c>
      <c r="D413" s="289">
        <f t="shared" si="12"/>
        <v>-4.1485991949720222E-3</v>
      </c>
      <c r="E413" s="289">
        <f t="shared" si="13"/>
        <v>-1.4146272457207527E-3</v>
      </c>
      <c r="F413" s="14"/>
      <c r="G413" s="14"/>
    </row>
    <row r="414" spans="1:7" ht="14.25" customHeight="1" x14ac:dyDescent="0.3">
      <c r="A414" s="41">
        <v>44531</v>
      </c>
      <c r="B414" s="42">
        <v>1786</v>
      </c>
      <c r="C414" s="42">
        <v>17166.900390625</v>
      </c>
      <c r="D414" s="289">
        <f t="shared" si="12"/>
        <v>1.0816641170421411E-2</v>
      </c>
      <c r="E414" s="289">
        <f t="shared" si="13"/>
        <v>1.2041365632525853E-2</v>
      </c>
      <c r="F414" s="14"/>
      <c r="G414" s="14"/>
    </row>
    <row r="415" spans="1:7" ht="14.25" customHeight="1" x14ac:dyDescent="0.3">
      <c r="A415" s="41">
        <v>44532</v>
      </c>
      <c r="B415" s="42">
        <v>1789.19995117188</v>
      </c>
      <c r="C415" s="42">
        <v>17401.650390625</v>
      </c>
      <c r="D415" s="289">
        <f t="shared" si="12"/>
        <v>1.3674571102433792E-2</v>
      </c>
      <c r="E415" s="289">
        <f t="shared" si="13"/>
        <v>1.791685986494962E-3</v>
      </c>
      <c r="F415" s="14"/>
      <c r="G415" s="14"/>
    </row>
    <row r="416" spans="1:7" ht="14.25" customHeight="1" x14ac:dyDescent="0.3">
      <c r="A416" s="41">
        <v>44533</v>
      </c>
      <c r="B416" s="42">
        <v>1801.25</v>
      </c>
      <c r="C416" s="42">
        <v>17196.69921875</v>
      </c>
      <c r="D416" s="289">
        <f t="shared" si="12"/>
        <v>-1.1777685867394267E-2</v>
      </c>
      <c r="E416" s="289">
        <f t="shared" si="13"/>
        <v>6.7348810401137811E-3</v>
      </c>
      <c r="F416" s="14"/>
      <c r="G416" s="14"/>
    </row>
    <row r="417" spans="1:7" ht="14.25" customHeight="1" x14ac:dyDescent="0.3">
      <c r="A417" s="41">
        <v>44536</v>
      </c>
      <c r="B417" s="42">
        <v>1782.65002441406</v>
      </c>
      <c r="C417" s="42">
        <v>16912.25</v>
      </c>
      <c r="D417" s="289">
        <f t="shared" si="12"/>
        <v>-1.6540919575999662E-2</v>
      </c>
      <c r="E417" s="289">
        <f t="shared" si="13"/>
        <v>-1.0326148833276892E-2</v>
      </c>
      <c r="F417" s="14"/>
      <c r="G417" s="14"/>
    </row>
    <row r="418" spans="1:7" ht="14.25" customHeight="1" x14ac:dyDescent="0.3">
      <c r="A418" s="41">
        <v>44537</v>
      </c>
      <c r="B418" s="42">
        <v>1798.09997558594</v>
      </c>
      <c r="C418" s="42">
        <v>17176.69921875</v>
      </c>
      <c r="D418" s="289">
        <f t="shared" si="12"/>
        <v>1.5636548581649395E-2</v>
      </c>
      <c r="E418" s="289">
        <f t="shared" si="13"/>
        <v>8.6668448435122617E-3</v>
      </c>
      <c r="F418" s="14"/>
      <c r="G418" s="14"/>
    </row>
    <row r="419" spans="1:7" ht="14.25" customHeight="1" x14ac:dyDescent="0.3">
      <c r="A419" s="41">
        <v>44538</v>
      </c>
      <c r="B419" s="42">
        <v>1825.05004882813</v>
      </c>
      <c r="C419" s="42">
        <v>17469.75</v>
      </c>
      <c r="D419" s="289">
        <f t="shared" si="12"/>
        <v>1.7060948527881727E-2</v>
      </c>
      <c r="E419" s="289">
        <f t="shared" si="13"/>
        <v>1.4988083870813625E-2</v>
      </c>
      <c r="F419" s="14"/>
      <c r="G419" s="14"/>
    </row>
    <row r="420" spans="1:7" ht="14.25" customHeight="1" x14ac:dyDescent="0.3">
      <c r="A420" s="41">
        <v>44539</v>
      </c>
      <c r="B420" s="42">
        <v>1879.80004882813</v>
      </c>
      <c r="C420" s="42">
        <v>17516.849609375</v>
      </c>
      <c r="D420" s="289">
        <f t="shared" si="12"/>
        <v>2.6960665936833668E-3</v>
      </c>
      <c r="E420" s="289">
        <f t="shared" si="13"/>
        <v>2.9999177302099268E-2</v>
      </c>
      <c r="F420" s="14"/>
      <c r="G420" s="14"/>
    </row>
    <row r="421" spans="1:7" ht="14.25" customHeight="1" x14ac:dyDescent="0.3">
      <c r="A421" s="41">
        <v>44540</v>
      </c>
      <c r="B421" s="42">
        <v>1873.40002441406</v>
      </c>
      <c r="C421" s="42">
        <v>17511.30078125</v>
      </c>
      <c r="D421" s="289">
        <f t="shared" si="12"/>
        <v>-3.1677089480920548E-4</v>
      </c>
      <c r="E421" s="289">
        <f t="shared" si="13"/>
        <v>-3.4046304116545733E-3</v>
      </c>
      <c r="F421" s="14"/>
      <c r="G421" s="14"/>
    </row>
    <row r="422" spans="1:7" ht="14.25" customHeight="1" x14ac:dyDescent="0.3">
      <c r="A422" s="41">
        <v>44543</v>
      </c>
      <c r="B422" s="42">
        <v>1861.5</v>
      </c>
      <c r="C422" s="42">
        <v>17368.25</v>
      </c>
      <c r="D422" s="289">
        <f t="shared" si="12"/>
        <v>-8.1690551168631508E-3</v>
      </c>
      <c r="E422" s="289">
        <f t="shared" si="13"/>
        <v>-6.3521000635098999E-3</v>
      </c>
      <c r="F422" s="14"/>
      <c r="G422" s="14"/>
    </row>
    <row r="423" spans="1:7" ht="14.25" customHeight="1" x14ac:dyDescent="0.3">
      <c r="A423" s="41">
        <v>44544</v>
      </c>
      <c r="B423" s="42">
        <v>1865.69995117188</v>
      </c>
      <c r="C423" s="42">
        <v>17324.900390625</v>
      </c>
      <c r="D423" s="289">
        <f t="shared" si="12"/>
        <v>-2.4959111813222402E-3</v>
      </c>
      <c r="E423" s="289">
        <f t="shared" si="13"/>
        <v>2.2562187332151504E-3</v>
      </c>
      <c r="F423" s="14"/>
      <c r="G423" s="14"/>
    </row>
    <row r="424" spans="1:7" ht="14.25" customHeight="1" x14ac:dyDescent="0.3">
      <c r="A424" s="41">
        <v>44545</v>
      </c>
      <c r="B424" s="42">
        <v>1880.80004882813</v>
      </c>
      <c r="C424" s="42">
        <v>17221.400390625</v>
      </c>
      <c r="D424" s="289">
        <f t="shared" si="12"/>
        <v>-5.9740603216401067E-3</v>
      </c>
      <c r="E424" s="289">
        <f t="shared" si="13"/>
        <v>8.0935295339239054E-3</v>
      </c>
      <c r="F424" s="14"/>
      <c r="G424" s="14"/>
    </row>
    <row r="425" spans="1:7" ht="14.25" customHeight="1" x14ac:dyDescent="0.3">
      <c r="A425" s="41">
        <v>44546</v>
      </c>
      <c r="B425" s="42">
        <v>1873.90002441406</v>
      </c>
      <c r="C425" s="42">
        <v>17248.400390625</v>
      </c>
      <c r="D425" s="289">
        <f t="shared" si="12"/>
        <v>1.5678167505296654E-3</v>
      </c>
      <c r="E425" s="289">
        <f t="shared" si="13"/>
        <v>-3.6686645230412456E-3</v>
      </c>
      <c r="F425" s="14"/>
      <c r="G425" s="14"/>
    </row>
    <row r="426" spans="1:7" ht="14.25" customHeight="1" x14ac:dyDescent="0.3">
      <c r="A426" s="41">
        <v>44547</v>
      </c>
      <c r="B426" s="42">
        <v>1847.09997558594</v>
      </c>
      <c r="C426" s="42">
        <v>16985.19921875</v>
      </c>
      <c r="D426" s="289">
        <f t="shared" si="12"/>
        <v>-1.525945397337004E-2</v>
      </c>
      <c r="E426" s="289">
        <f t="shared" si="13"/>
        <v>-1.430174954851178E-2</v>
      </c>
      <c r="F426" s="14"/>
      <c r="G426" s="14"/>
    </row>
    <row r="427" spans="1:7" ht="14.25" customHeight="1" x14ac:dyDescent="0.3">
      <c r="A427" s="41">
        <v>44550</v>
      </c>
      <c r="B427" s="42">
        <v>1799.34997558594</v>
      </c>
      <c r="C427" s="42">
        <v>16614.19921875</v>
      </c>
      <c r="D427" s="289">
        <f t="shared" si="12"/>
        <v>-2.1842546279377886E-2</v>
      </c>
      <c r="E427" s="289">
        <f t="shared" si="13"/>
        <v>-2.5851334866079823E-2</v>
      </c>
      <c r="F427" s="14"/>
      <c r="G427" s="14"/>
    </row>
    <row r="428" spans="1:7" ht="14.25" customHeight="1" x14ac:dyDescent="0.3">
      <c r="A428" s="41">
        <v>44551</v>
      </c>
      <c r="B428" s="42">
        <v>1827.55004882813</v>
      </c>
      <c r="C428" s="42">
        <v>16770.849609375</v>
      </c>
      <c r="D428" s="289">
        <f t="shared" si="12"/>
        <v>9.4287054442089378E-3</v>
      </c>
      <c r="E428" s="289">
        <f t="shared" si="13"/>
        <v>1.5672367035216111E-2</v>
      </c>
      <c r="F428" s="14"/>
      <c r="G428" s="14"/>
    </row>
    <row r="429" spans="1:7" ht="14.25" customHeight="1" x14ac:dyDescent="0.3">
      <c r="A429" s="41">
        <v>44552</v>
      </c>
      <c r="B429" s="42">
        <v>1871</v>
      </c>
      <c r="C429" s="42">
        <v>16955.44921875</v>
      </c>
      <c r="D429" s="289">
        <f t="shared" si="12"/>
        <v>1.1007170994593368E-2</v>
      </c>
      <c r="E429" s="289">
        <f t="shared" si="13"/>
        <v>2.3774971963001053E-2</v>
      </c>
      <c r="F429" s="14"/>
      <c r="G429" s="14"/>
    </row>
    <row r="430" spans="1:7" ht="14.25" customHeight="1" x14ac:dyDescent="0.3">
      <c r="A430" s="41">
        <v>44553</v>
      </c>
      <c r="B430" s="42">
        <v>1878.44995117188</v>
      </c>
      <c r="C430" s="42">
        <v>17072.599609375</v>
      </c>
      <c r="D430" s="289">
        <f t="shared" si="12"/>
        <v>6.9093062126275315E-3</v>
      </c>
      <c r="E430" s="289">
        <f t="shared" si="13"/>
        <v>3.9818018021806536E-3</v>
      </c>
      <c r="F430" s="14"/>
      <c r="G430" s="14"/>
    </row>
    <row r="431" spans="1:7" ht="14.25" customHeight="1" x14ac:dyDescent="0.3">
      <c r="A431" s="41">
        <v>44554</v>
      </c>
      <c r="B431" s="42">
        <v>1859.40002441406</v>
      </c>
      <c r="C431" s="42">
        <v>17003.75</v>
      </c>
      <c r="D431" s="289">
        <f t="shared" si="12"/>
        <v>-4.0327548791803756E-3</v>
      </c>
      <c r="E431" s="289">
        <f t="shared" si="13"/>
        <v>-1.0141301207378783E-2</v>
      </c>
      <c r="F431" s="14"/>
      <c r="G431" s="14"/>
    </row>
    <row r="432" spans="1:7" ht="14.25" customHeight="1" x14ac:dyDescent="0.3">
      <c r="A432" s="41">
        <v>44557</v>
      </c>
      <c r="B432" s="42">
        <v>1866.19995117188</v>
      </c>
      <c r="C432" s="42">
        <v>17086.25</v>
      </c>
      <c r="D432" s="289">
        <f t="shared" si="12"/>
        <v>4.8518709108284937E-3</v>
      </c>
      <c r="E432" s="289">
        <f t="shared" si="13"/>
        <v>3.657054247895268E-3</v>
      </c>
      <c r="F432" s="14"/>
      <c r="G432" s="14"/>
    </row>
    <row r="433" spans="1:7" ht="14.25" customHeight="1" x14ac:dyDescent="0.3">
      <c r="A433" s="41">
        <v>44558</v>
      </c>
      <c r="B433" s="42">
        <v>1899.5</v>
      </c>
      <c r="C433" s="42">
        <v>17233.25</v>
      </c>
      <c r="D433" s="289">
        <f t="shared" si="12"/>
        <v>8.6034091740434561E-3</v>
      </c>
      <c r="E433" s="289">
        <f t="shared" si="13"/>
        <v>1.7843773282283731E-2</v>
      </c>
      <c r="F433" s="14"/>
      <c r="G433" s="14"/>
    </row>
    <row r="434" spans="1:7" ht="14.25" customHeight="1" x14ac:dyDescent="0.3">
      <c r="A434" s="41">
        <v>44559</v>
      </c>
      <c r="B434" s="42">
        <v>1894.84997558594</v>
      </c>
      <c r="C434" s="42">
        <v>17213.599609375</v>
      </c>
      <c r="D434" s="289">
        <f t="shared" si="12"/>
        <v>-1.1402602889762524E-3</v>
      </c>
      <c r="E434" s="289">
        <f t="shared" si="13"/>
        <v>-2.4480254877915237E-3</v>
      </c>
      <c r="F434" s="14"/>
      <c r="G434" s="14"/>
    </row>
    <row r="435" spans="1:7" ht="14.25" customHeight="1" x14ac:dyDescent="0.3">
      <c r="A435" s="41">
        <v>44560</v>
      </c>
      <c r="B435" s="42">
        <v>1885.69995117188</v>
      </c>
      <c r="C435" s="42">
        <v>17203.94921875</v>
      </c>
      <c r="D435" s="289">
        <f t="shared" si="12"/>
        <v>-5.606259494814862E-4</v>
      </c>
      <c r="E435" s="289">
        <f t="shared" si="13"/>
        <v>-4.8288912219715749E-3</v>
      </c>
      <c r="F435" s="14"/>
      <c r="G435" s="14"/>
    </row>
    <row r="436" spans="1:7" ht="14.25" customHeight="1" x14ac:dyDescent="0.3">
      <c r="A436" s="41">
        <v>44561</v>
      </c>
      <c r="B436" s="42">
        <v>1895.90002441406</v>
      </c>
      <c r="C436" s="42">
        <v>17354.05078125</v>
      </c>
      <c r="D436" s="289">
        <f t="shared" si="12"/>
        <v>8.7248317576065267E-3</v>
      </c>
      <c r="E436" s="289">
        <f t="shared" si="13"/>
        <v>5.4091708682715385E-3</v>
      </c>
      <c r="F436" s="14"/>
      <c r="G436" s="14"/>
    </row>
    <row r="437" spans="1:7" ht="14.25" customHeight="1" x14ac:dyDescent="0.3">
      <c r="A437" s="41">
        <v>44564</v>
      </c>
      <c r="B437" s="42">
        <v>1922.84997558594</v>
      </c>
      <c r="C437" s="42">
        <v>17625.69921875</v>
      </c>
      <c r="D437" s="289">
        <f t="shared" si="12"/>
        <v>1.565331581220793E-2</v>
      </c>
      <c r="E437" s="289">
        <f t="shared" si="13"/>
        <v>1.4214858813670335E-2</v>
      </c>
      <c r="F437" s="14"/>
      <c r="G437" s="14"/>
    </row>
    <row r="438" spans="1:7" ht="14.25" customHeight="1" x14ac:dyDescent="0.3">
      <c r="A438" s="41">
        <v>44565</v>
      </c>
      <c r="B438" s="42">
        <v>1937.55004882813</v>
      </c>
      <c r="C438" s="42">
        <v>17805.25</v>
      </c>
      <c r="D438" s="289">
        <f t="shared" si="12"/>
        <v>1.0186874235264159E-2</v>
      </c>
      <c r="E438" s="289">
        <f t="shared" si="13"/>
        <v>7.6449402859474387E-3</v>
      </c>
      <c r="F438" s="14"/>
      <c r="G438" s="14"/>
    </row>
    <row r="439" spans="1:7" ht="14.25" customHeight="1" x14ac:dyDescent="0.3">
      <c r="A439" s="41">
        <v>44566</v>
      </c>
      <c r="B439" s="42">
        <v>1948.59997558594</v>
      </c>
      <c r="C439" s="42">
        <v>17925.25</v>
      </c>
      <c r="D439" s="289">
        <f t="shared" si="12"/>
        <v>6.7395852346920151E-3</v>
      </c>
      <c r="E439" s="289">
        <f t="shared" si="13"/>
        <v>5.7030406850616432E-3</v>
      </c>
      <c r="F439" s="14"/>
      <c r="G439" s="14"/>
    </row>
    <row r="440" spans="1:7" ht="14.25" customHeight="1" x14ac:dyDescent="0.3">
      <c r="A440" s="41">
        <v>44567</v>
      </c>
      <c r="B440" s="42">
        <v>1924.5</v>
      </c>
      <c r="C440" s="42">
        <v>17745.900390625</v>
      </c>
      <c r="D440" s="289">
        <f t="shared" si="12"/>
        <v>-1.0005417462796892E-2</v>
      </c>
      <c r="E440" s="289">
        <f t="shared" si="13"/>
        <v>-1.2367841469716322E-2</v>
      </c>
      <c r="F440" s="14"/>
      <c r="G440" s="14"/>
    </row>
    <row r="441" spans="1:7" ht="14.25" customHeight="1" x14ac:dyDescent="0.3">
      <c r="A441" s="41">
        <v>44568</v>
      </c>
      <c r="B441" s="42">
        <v>1904.90002441406</v>
      </c>
      <c r="C441" s="42">
        <v>17812.69921875</v>
      </c>
      <c r="D441" s="289">
        <f t="shared" si="12"/>
        <v>3.7641836511315718E-3</v>
      </c>
      <c r="E441" s="289">
        <f t="shared" si="13"/>
        <v>-1.0184450811088595E-2</v>
      </c>
      <c r="F441" s="14"/>
      <c r="G441" s="14"/>
    </row>
    <row r="442" spans="1:7" ht="14.25" customHeight="1" x14ac:dyDescent="0.3">
      <c r="A442" s="41">
        <v>44571</v>
      </c>
      <c r="B442" s="42">
        <v>1953.09997558594</v>
      </c>
      <c r="C442" s="42">
        <v>18003.30078125</v>
      </c>
      <c r="D442" s="289">
        <f t="shared" si="12"/>
        <v>1.0700318921871708E-2</v>
      </c>
      <c r="E442" s="289">
        <f t="shared" si="13"/>
        <v>2.530313956329867E-2</v>
      </c>
      <c r="F442" s="14"/>
      <c r="G442" s="14"/>
    </row>
    <row r="443" spans="1:7" ht="14.25" customHeight="1" x14ac:dyDescent="0.3">
      <c r="A443" s="41">
        <v>44572</v>
      </c>
      <c r="B443" s="42">
        <v>1961.15002441406</v>
      </c>
      <c r="C443" s="42">
        <v>18055.75</v>
      </c>
      <c r="D443" s="289">
        <f t="shared" si="12"/>
        <v>2.9133112526023332E-3</v>
      </c>
      <c r="E443" s="289">
        <f t="shared" si="13"/>
        <v>4.1216778089943618E-3</v>
      </c>
      <c r="F443" s="14"/>
      <c r="G443" s="14"/>
    </row>
    <row r="444" spans="1:7" ht="14.25" customHeight="1" x14ac:dyDescent="0.3">
      <c r="A444" s="41">
        <v>44573</v>
      </c>
      <c r="B444" s="42">
        <v>1974.19995117188</v>
      </c>
      <c r="C444" s="42">
        <v>18212.349609375</v>
      </c>
      <c r="D444" s="289">
        <f t="shared" si="12"/>
        <v>8.6731157318305808E-3</v>
      </c>
      <c r="E444" s="289">
        <f t="shared" si="13"/>
        <v>6.6542215513160337E-3</v>
      </c>
      <c r="F444" s="14"/>
      <c r="G444" s="14"/>
    </row>
    <row r="445" spans="1:7" ht="14.25" customHeight="1" x14ac:dyDescent="0.3">
      <c r="A445" s="41">
        <v>44574</v>
      </c>
      <c r="B445" s="42">
        <v>2018.40002441406</v>
      </c>
      <c r="C445" s="42">
        <v>18257.80078125</v>
      </c>
      <c r="D445" s="289">
        <f t="shared" si="12"/>
        <v>2.495623730592319E-3</v>
      </c>
      <c r="E445" s="289">
        <f t="shared" si="13"/>
        <v>2.2388853376246385E-2</v>
      </c>
      <c r="F445" s="14"/>
      <c r="G445" s="14"/>
    </row>
    <row r="446" spans="1:7" ht="14.25" customHeight="1" x14ac:dyDescent="0.3">
      <c r="A446" s="41">
        <v>44575</v>
      </c>
      <c r="B446" s="42">
        <v>2044.75</v>
      </c>
      <c r="C446" s="42">
        <v>18255.75</v>
      </c>
      <c r="D446" s="289">
        <f t="shared" si="12"/>
        <v>-1.1232356375068276E-4</v>
      </c>
      <c r="E446" s="289">
        <f t="shared" si="13"/>
        <v>1.3054882712652255E-2</v>
      </c>
      <c r="F446" s="14"/>
      <c r="G446" s="14"/>
    </row>
    <row r="447" spans="1:7" ht="14.25" customHeight="1" x14ac:dyDescent="0.3">
      <c r="A447" s="41">
        <v>44578</v>
      </c>
      <c r="B447" s="42">
        <v>2069.39990234375</v>
      </c>
      <c r="C447" s="42">
        <v>18308.099609375</v>
      </c>
      <c r="D447" s="289">
        <f t="shared" si="12"/>
        <v>2.867568266162716E-3</v>
      </c>
      <c r="E447" s="289">
        <f t="shared" si="13"/>
        <v>1.2055215720136936E-2</v>
      </c>
      <c r="F447" s="14"/>
      <c r="G447" s="14"/>
    </row>
    <row r="448" spans="1:7" ht="14.25" customHeight="1" x14ac:dyDescent="0.3">
      <c r="A448" s="41">
        <v>44579</v>
      </c>
      <c r="B448" s="42">
        <v>2022.19995117188</v>
      </c>
      <c r="C448" s="42">
        <v>18113.05078125</v>
      </c>
      <c r="D448" s="289">
        <f t="shared" si="12"/>
        <v>-1.0653690567923372E-2</v>
      </c>
      <c r="E448" s="289">
        <f t="shared" si="13"/>
        <v>-2.2808521020230323E-2</v>
      </c>
      <c r="F448" s="14"/>
      <c r="G448" s="14"/>
    </row>
    <row r="449" spans="1:7" ht="14.25" customHeight="1" x14ac:dyDescent="0.3">
      <c r="A449" s="41">
        <v>44580</v>
      </c>
      <c r="B449" s="42">
        <v>2020.90002441406</v>
      </c>
      <c r="C449" s="42">
        <v>17938.400390625</v>
      </c>
      <c r="D449" s="289">
        <f t="shared" si="12"/>
        <v>-9.642240433941256E-3</v>
      </c>
      <c r="E449" s="289">
        <f t="shared" si="13"/>
        <v>-6.4282800376228174E-4</v>
      </c>
      <c r="F449" s="14"/>
      <c r="G449" s="14"/>
    </row>
    <row r="450" spans="1:7" ht="14.25" customHeight="1" x14ac:dyDescent="0.3">
      <c r="A450" s="41">
        <v>44581</v>
      </c>
      <c r="B450" s="42">
        <v>2003.5</v>
      </c>
      <c r="C450" s="42">
        <v>17757</v>
      </c>
      <c r="D450" s="289">
        <f t="shared" si="12"/>
        <v>-1.0112406160797024E-2</v>
      </c>
      <c r="E450" s="289">
        <f t="shared" si="13"/>
        <v>-8.6100372130506371E-3</v>
      </c>
      <c r="F450" s="14"/>
      <c r="G450" s="14"/>
    </row>
    <row r="451" spans="1:7" ht="14.25" customHeight="1" x14ac:dyDescent="0.3">
      <c r="A451" s="41">
        <v>44582</v>
      </c>
      <c r="B451" s="42">
        <v>1956.05004882813</v>
      </c>
      <c r="C451" s="42">
        <v>17617.150390625</v>
      </c>
      <c r="D451" s="289">
        <f t="shared" ref="D451:D514" si="14">(C451-C450)/C450</f>
        <v>-7.875745304668582E-3</v>
      </c>
      <c r="E451" s="289">
        <f t="shared" ref="E451:E514" si="15">(B451-B450)/B450</f>
        <v>-2.368352940946843E-2</v>
      </c>
      <c r="F451" s="14"/>
      <c r="G451" s="14"/>
    </row>
    <row r="452" spans="1:7" ht="14.25" customHeight="1" x14ac:dyDescent="0.3">
      <c r="A452" s="41">
        <v>44585</v>
      </c>
      <c r="B452" s="42">
        <v>1899.90002441406</v>
      </c>
      <c r="C452" s="42">
        <v>17149.099609375</v>
      </c>
      <c r="D452" s="289">
        <f t="shared" si="14"/>
        <v>-2.6567905187383431E-2</v>
      </c>
      <c r="E452" s="289">
        <f t="shared" si="15"/>
        <v>-2.8705821943415762E-2</v>
      </c>
      <c r="F452" s="14"/>
      <c r="G452" s="14"/>
    </row>
    <row r="453" spans="1:7" ht="14.25" customHeight="1" x14ac:dyDescent="0.3">
      <c r="A453" s="41">
        <v>44586</v>
      </c>
      <c r="B453" s="42">
        <v>1925.30004882813</v>
      </c>
      <c r="C453" s="42">
        <v>17277.94921875</v>
      </c>
      <c r="D453" s="289">
        <f t="shared" si="14"/>
        <v>7.5134912216942877E-3</v>
      </c>
      <c r="E453" s="289">
        <f t="shared" si="15"/>
        <v>1.3369137369164209E-2</v>
      </c>
      <c r="F453" s="14"/>
      <c r="G453" s="14"/>
    </row>
    <row r="454" spans="1:7" ht="14.25" customHeight="1" x14ac:dyDescent="0.3">
      <c r="A454" s="41">
        <v>44588</v>
      </c>
      <c r="B454" s="42">
        <v>1910.84997558594</v>
      </c>
      <c r="C454" s="42">
        <v>17110.150390625</v>
      </c>
      <c r="D454" s="289">
        <f t="shared" si="14"/>
        <v>-9.7117329146276816E-3</v>
      </c>
      <c r="E454" s="289">
        <f t="shared" si="15"/>
        <v>-7.5053616972509344E-3</v>
      </c>
      <c r="F454" s="14"/>
      <c r="G454" s="14"/>
    </row>
    <row r="455" spans="1:7" ht="14.25" customHeight="1" x14ac:dyDescent="0.3">
      <c r="A455" s="41">
        <v>44589</v>
      </c>
      <c r="B455" s="42">
        <v>1897.55004882813</v>
      </c>
      <c r="C455" s="42">
        <v>17101.94921875</v>
      </c>
      <c r="D455" s="289">
        <f t="shared" si="14"/>
        <v>-4.7931617710932507E-4</v>
      </c>
      <c r="E455" s="289">
        <f t="shared" si="15"/>
        <v>-6.9602150497093474E-3</v>
      </c>
      <c r="F455" s="14"/>
      <c r="G455" s="14"/>
    </row>
    <row r="456" spans="1:7" ht="14.25" customHeight="1" x14ac:dyDescent="0.3">
      <c r="A456" s="41">
        <v>44592</v>
      </c>
      <c r="B456" s="42">
        <v>1909.19995117188</v>
      </c>
      <c r="C456" s="42">
        <v>17339.849609375</v>
      </c>
      <c r="D456" s="289">
        <f t="shared" si="14"/>
        <v>1.3910717870929826E-2</v>
      </c>
      <c r="E456" s="289">
        <f t="shared" si="15"/>
        <v>6.1394440430936883E-3</v>
      </c>
      <c r="F456" s="14"/>
      <c r="G456" s="14"/>
    </row>
    <row r="457" spans="1:7" ht="14.25" customHeight="1" x14ac:dyDescent="0.3">
      <c r="A457" s="41">
        <v>44593</v>
      </c>
      <c r="B457" s="42">
        <v>1990.5</v>
      </c>
      <c r="C457" s="42">
        <v>17576.849609375</v>
      </c>
      <c r="D457" s="289">
        <f t="shared" si="14"/>
        <v>1.366793861187026E-2</v>
      </c>
      <c r="E457" s="289">
        <f t="shared" si="15"/>
        <v>4.2583307619622278E-2</v>
      </c>
      <c r="F457" s="14"/>
      <c r="G457" s="14"/>
    </row>
    <row r="458" spans="1:7" ht="14.25" customHeight="1" x14ac:dyDescent="0.3">
      <c r="A458" s="41">
        <v>44594</v>
      </c>
      <c r="B458" s="42">
        <v>1982.69995117188</v>
      </c>
      <c r="C458" s="42">
        <v>17780</v>
      </c>
      <c r="D458" s="289">
        <f t="shared" si="14"/>
        <v>1.1557838585399586E-2</v>
      </c>
      <c r="E458" s="289">
        <f t="shared" si="15"/>
        <v>-3.9186379442954023E-3</v>
      </c>
      <c r="F458" s="14"/>
      <c r="G458" s="14"/>
    </row>
    <row r="459" spans="1:7" ht="14.25" customHeight="1" x14ac:dyDescent="0.3">
      <c r="A459" s="41">
        <v>44595</v>
      </c>
      <c r="B459" s="42">
        <v>1933.65002441406</v>
      </c>
      <c r="C459" s="42">
        <v>17560.19921875</v>
      </c>
      <c r="D459" s="289">
        <f t="shared" si="14"/>
        <v>-1.2362248664229471E-2</v>
      </c>
      <c r="E459" s="289">
        <f t="shared" si="15"/>
        <v>-2.473895595187205E-2</v>
      </c>
      <c r="F459" s="14"/>
      <c r="G459" s="14"/>
    </row>
    <row r="460" spans="1:7" ht="14.25" customHeight="1" x14ac:dyDescent="0.3">
      <c r="A460" s="41">
        <v>44596</v>
      </c>
      <c r="B460" s="42">
        <v>1947.94995117188</v>
      </c>
      <c r="C460" s="42">
        <v>17516.30078125</v>
      </c>
      <c r="D460" s="289">
        <f t="shared" si="14"/>
        <v>-2.4998826581151311E-3</v>
      </c>
      <c r="E460" s="289">
        <f t="shared" si="15"/>
        <v>7.3953024473253411E-3</v>
      </c>
      <c r="F460" s="14"/>
      <c r="G460" s="14"/>
    </row>
    <row r="461" spans="1:7" ht="14.25" customHeight="1" x14ac:dyDescent="0.3">
      <c r="A461" s="41">
        <v>44599</v>
      </c>
      <c r="B461" s="42">
        <v>1884.5</v>
      </c>
      <c r="C461" s="42">
        <v>17213.599609375</v>
      </c>
      <c r="D461" s="289">
        <f t="shared" si="14"/>
        <v>-1.7281112927623445E-2</v>
      </c>
      <c r="E461" s="289">
        <f t="shared" si="15"/>
        <v>-3.2572680388276265E-2</v>
      </c>
      <c r="F461" s="14"/>
      <c r="G461" s="14"/>
    </row>
    <row r="462" spans="1:7" ht="14.25" customHeight="1" x14ac:dyDescent="0.3">
      <c r="A462" s="41">
        <v>44600</v>
      </c>
      <c r="B462" s="42">
        <v>1875.59997558594</v>
      </c>
      <c r="C462" s="42">
        <v>17266.75</v>
      </c>
      <c r="D462" s="289">
        <f t="shared" si="14"/>
        <v>3.0876976246184346E-3</v>
      </c>
      <c r="E462" s="289">
        <f t="shared" si="15"/>
        <v>-4.722751082016449E-3</v>
      </c>
      <c r="F462" s="14"/>
      <c r="G462" s="14"/>
    </row>
    <row r="463" spans="1:7" ht="14.25" customHeight="1" x14ac:dyDescent="0.3">
      <c r="A463" s="41">
        <v>44601</v>
      </c>
      <c r="B463" s="42">
        <v>1888.80004882813</v>
      </c>
      <c r="C463" s="42">
        <v>17463.80078125</v>
      </c>
      <c r="D463" s="289">
        <f t="shared" si="14"/>
        <v>1.1412152330345897E-2</v>
      </c>
      <c r="E463" s="289">
        <f t="shared" si="15"/>
        <v>7.0377870622792479E-3</v>
      </c>
      <c r="F463" s="14"/>
      <c r="G463" s="14"/>
    </row>
    <row r="464" spans="1:7" ht="14.25" customHeight="1" x14ac:dyDescent="0.3">
      <c r="A464" s="41">
        <v>44602</v>
      </c>
      <c r="B464" s="42">
        <v>1901</v>
      </c>
      <c r="C464" s="42">
        <v>17605.849609375</v>
      </c>
      <c r="D464" s="289">
        <f t="shared" si="14"/>
        <v>8.1339010851240717E-3</v>
      </c>
      <c r="E464" s="289">
        <f t="shared" si="15"/>
        <v>6.4591014699725497E-3</v>
      </c>
      <c r="F464" s="14"/>
      <c r="G464" s="14"/>
    </row>
    <row r="465" spans="1:7" ht="14.25" customHeight="1" x14ac:dyDescent="0.3">
      <c r="A465" s="41">
        <v>44603</v>
      </c>
      <c r="B465" s="42">
        <v>1871.25</v>
      </c>
      <c r="C465" s="42">
        <v>17374.75</v>
      </c>
      <c r="D465" s="289">
        <f t="shared" si="14"/>
        <v>-1.3126296912813624E-2</v>
      </c>
      <c r="E465" s="289">
        <f t="shared" si="15"/>
        <v>-1.5649658074697526E-2</v>
      </c>
      <c r="F465" s="14"/>
      <c r="G465" s="14"/>
    </row>
    <row r="466" spans="1:7" ht="14.25" customHeight="1" x14ac:dyDescent="0.3">
      <c r="A466" s="41">
        <v>44606</v>
      </c>
      <c r="B466" s="42">
        <v>1799</v>
      </c>
      <c r="C466" s="42">
        <v>16842.80078125</v>
      </c>
      <c r="D466" s="289">
        <f t="shared" si="14"/>
        <v>-3.0616222895293456E-2</v>
      </c>
      <c r="E466" s="289">
        <f t="shared" si="15"/>
        <v>-3.8610554442217768E-2</v>
      </c>
      <c r="F466" s="14"/>
      <c r="G466" s="14"/>
    </row>
    <row r="467" spans="1:7" ht="14.25" customHeight="1" x14ac:dyDescent="0.3">
      <c r="A467" s="41">
        <v>44607</v>
      </c>
      <c r="B467" s="42">
        <v>1876.05004882813</v>
      </c>
      <c r="C467" s="42">
        <v>17352.44921875</v>
      </c>
      <c r="D467" s="289">
        <f t="shared" si="14"/>
        <v>3.0259126383977576E-2</v>
      </c>
      <c r="E467" s="289">
        <f t="shared" si="15"/>
        <v>4.2829376780505836E-2</v>
      </c>
      <c r="F467" s="14"/>
      <c r="G467" s="14"/>
    </row>
    <row r="468" spans="1:7" ht="14.25" customHeight="1" x14ac:dyDescent="0.3">
      <c r="A468" s="41">
        <v>44608</v>
      </c>
      <c r="B468" s="42">
        <v>1860.69995117188</v>
      </c>
      <c r="C468" s="42">
        <v>17322.19921875</v>
      </c>
      <c r="D468" s="289">
        <f t="shared" si="14"/>
        <v>-1.7432697608654399E-3</v>
      </c>
      <c r="E468" s="289">
        <f t="shared" si="15"/>
        <v>-8.1821365404608475E-3</v>
      </c>
      <c r="F468" s="14"/>
      <c r="G468" s="14"/>
    </row>
    <row r="469" spans="1:7" ht="14.25" customHeight="1" x14ac:dyDescent="0.3">
      <c r="A469" s="41">
        <v>44609</v>
      </c>
      <c r="B469" s="42">
        <v>1868.69995117188</v>
      </c>
      <c r="C469" s="42">
        <v>17304.599609375</v>
      </c>
      <c r="D469" s="289">
        <f t="shared" si="14"/>
        <v>-1.0160147191904897E-3</v>
      </c>
      <c r="E469" s="289">
        <f t="shared" si="15"/>
        <v>4.2994573063548222E-3</v>
      </c>
      <c r="F469" s="14"/>
      <c r="G469" s="14"/>
    </row>
    <row r="470" spans="1:7" ht="14.25" customHeight="1" x14ac:dyDescent="0.3">
      <c r="A470" s="41">
        <v>44610</v>
      </c>
      <c r="B470" s="42">
        <v>1883.09997558594</v>
      </c>
      <c r="C470" s="42">
        <v>17276.30078125</v>
      </c>
      <c r="D470" s="289">
        <f t="shared" si="14"/>
        <v>-1.6353356196504385E-3</v>
      </c>
      <c r="E470" s="289">
        <f t="shared" si="15"/>
        <v>7.7059050625166454E-3</v>
      </c>
      <c r="F470" s="14"/>
      <c r="G470" s="14"/>
    </row>
    <row r="471" spans="1:7" ht="14.25" customHeight="1" x14ac:dyDescent="0.3">
      <c r="A471" s="41">
        <v>44613</v>
      </c>
      <c r="B471" s="42">
        <v>1863.94995117188</v>
      </c>
      <c r="C471" s="42">
        <v>17206.650390625</v>
      </c>
      <c r="D471" s="289">
        <f t="shared" si="14"/>
        <v>-4.0315569581071253E-3</v>
      </c>
      <c r="E471" s="289">
        <f t="shared" si="15"/>
        <v>-1.0169414615440868E-2</v>
      </c>
      <c r="F471" s="14"/>
      <c r="G471" s="14"/>
    </row>
    <row r="472" spans="1:7" ht="14.25" customHeight="1" x14ac:dyDescent="0.3">
      <c r="A472" s="41">
        <v>44614</v>
      </c>
      <c r="B472" s="42">
        <v>1844.44995117188</v>
      </c>
      <c r="C472" s="42">
        <v>17092.19921875</v>
      </c>
      <c r="D472" s="289">
        <f t="shared" si="14"/>
        <v>-6.6515660675803834E-3</v>
      </c>
      <c r="E472" s="289">
        <f t="shared" si="15"/>
        <v>-1.0461654288378397E-2</v>
      </c>
      <c r="F472" s="14"/>
      <c r="G472" s="14"/>
    </row>
    <row r="473" spans="1:7" ht="14.25" customHeight="1" x14ac:dyDescent="0.3">
      <c r="A473" s="41">
        <v>44615</v>
      </c>
      <c r="B473" s="42">
        <v>1820.30004882813</v>
      </c>
      <c r="C473" s="42">
        <v>17063.25</v>
      </c>
      <c r="D473" s="289">
        <f t="shared" si="14"/>
        <v>-1.6937094155936908E-3</v>
      </c>
      <c r="E473" s="289">
        <f t="shared" si="15"/>
        <v>-1.3093281456840964E-2</v>
      </c>
      <c r="F473" s="14"/>
      <c r="G473" s="14"/>
    </row>
    <row r="474" spans="1:7" ht="14.25" customHeight="1" x14ac:dyDescent="0.3">
      <c r="A474" s="41">
        <v>44616</v>
      </c>
      <c r="B474" s="42">
        <v>1757.34997558594</v>
      </c>
      <c r="C474" s="42">
        <v>16247.9501953125</v>
      </c>
      <c r="D474" s="289">
        <f t="shared" si="14"/>
        <v>-4.7781038470836444E-2</v>
      </c>
      <c r="E474" s="289">
        <f t="shared" si="15"/>
        <v>-3.4582251032029526E-2</v>
      </c>
      <c r="F474" s="14"/>
      <c r="G474" s="14"/>
    </row>
    <row r="475" spans="1:7" ht="14.25" customHeight="1" x14ac:dyDescent="0.3">
      <c r="A475" s="41">
        <v>44617</v>
      </c>
      <c r="B475" s="42">
        <v>1777.05004882813</v>
      </c>
      <c r="C475" s="42">
        <v>16658.400390625</v>
      </c>
      <c r="D475" s="289">
        <f t="shared" si="14"/>
        <v>2.5261660109649649E-2</v>
      </c>
      <c r="E475" s="289">
        <f t="shared" si="15"/>
        <v>1.1210102435982652E-2</v>
      </c>
      <c r="F475" s="14"/>
      <c r="G475" s="14"/>
    </row>
    <row r="476" spans="1:7" ht="14.25" customHeight="1" x14ac:dyDescent="0.3">
      <c r="A476" s="41">
        <v>44620</v>
      </c>
      <c r="B476" s="42">
        <v>1816.75</v>
      </c>
      <c r="C476" s="42">
        <v>16793.900390625</v>
      </c>
      <c r="D476" s="289">
        <f t="shared" si="14"/>
        <v>8.1340342903665937E-3</v>
      </c>
      <c r="E476" s="289">
        <f t="shared" si="15"/>
        <v>2.2340367508529094E-2</v>
      </c>
      <c r="F476" s="14"/>
      <c r="G476" s="14"/>
    </row>
    <row r="477" spans="1:7" ht="14.25" customHeight="1" x14ac:dyDescent="0.3">
      <c r="A477" s="41">
        <v>44622</v>
      </c>
      <c r="B477" s="42">
        <v>1784.5</v>
      </c>
      <c r="C477" s="42">
        <v>16605.94921875</v>
      </c>
      <c r="D477" s="289">
        <f t="shared" si="14"/>
        <v>-1.1191633122935609E-2</v>
      </c>
      <c r="E477" s="289">
        <f t="shared" si="15"/>
        <v>-1.7751479289940829E-2</v>
      </c>
      <c r="F477" s="14"/>
      <c r="G477" s="14"/>
    </row>
    <row r="478" spans="1:7" ht="14.25" customHeight="1" x14ac:dyDescent="0.3">
      <c r="A478" s="41">
        <v>44623</v>
      </c>
      <c r="B478" s="42">
        <v>1752.30004882813</v>
      </c>
      <c r="C478" s="42">
        <v>16498.05078125</v>
      </c>
      <c r="D478" s="289">
        <f t="shared" si="14"/>
        <v>-6.4975772284170561E-3</v>
      </c>
      <c r="E478" s="289">
        <f t="shared" si="15"/>
        <v>-1.8044242741311292E-2</v>
      </c>
      <c r="F478" s="14"/>
      <c r="G478" s="14"/>
    </row>
    <row r="479" spans="1:7" ht="14.25" customHeight="1" x14ac:dyDescent="0.3">
      <c r="A479" s="41">
        <v>44624</v>
      </c>
      <c r="B479" s="42">
        <v>1711.75</v>
      </c>
      <c r="C479" s="42">
        <v>16245.349609375</v>
      </c>
      <c r="D479" s="289">
        <f t="shared" si="14"/>
        <v>-1.5317032007332306E-2</v>
      </c>
      <c r="E479" s="289">
        <f t="shared" si="15"/>
        <v>-2.314104188677521E-2</v>
      </c>
      <c r="F479" s="14"/>
      <c r="G479" s="14"/>
    </row>
    <row r="480" spans="1:7" ht="14.25" customHeight="1" x14ac:dyDescent="0.3">
      <c r="A480" s="41">
        <v>44627</v>
      </c>
      <c r="B480" s="42">
        <v>1634.44995117188</v>
      </c>
      <c r="C480" s="42">
        <v>15863.150390625</v>
      </c>
      <c r="D480" s="289">
        <f t="shared" si="14"/>
        <v>-2.3526684739947814E-2</v>
      </c>
      <c r="E480" s="289">
        <f t="shared" si="15"/>
        <v>-4.5158492085947126E-2</v>
      </c>
      <c r="F480" s="14"/>
      <c r="G480" s="14"/>
    </row>
    <row r="481" spans="1:7" ht="14.25" customHeight="1" x14ac:dyDescent="0.3">
      <c r="A481" s="41">
        <v>44628</v>
      </c>
      <c r="B481" s="42">
        <v>1658.5</v>
      </c>
      <c r="C481" s="42">
        <v>16013.4501953125</v>
      </c>
      <c r="D481" s="289">
        <f t="shared" si="14"/>
        <v>9.4747765094836418E-3</v>
      </c>
      <c r="E481" s="289">
        <f t="shared" si="15"/>
        <v>1.4714460244485562E-2</v>
      </c>
      <c r="F481" s="14"/>
      <c r="G481" s="14"/>
    </row>
    <row r="482" spans="1:7" ht="14.25" customHeight="1" x14ac:dyDescent="0.3">
      <c r="A482" s="41">
        <v>44629</v>
      </c>
      <c r="B482" s="42">
        <v>1690.94995117188</v>
      </c>
      <c r="C482" s="42">
        <v>16345.349609375</v>
      </c>
      <c r="D482" s="289">
        <f t="shared" si="14"/>
        <v>2.0726290088294307E-2</v>
      </c>
      <c r="E482" s="289">
        <f t="shared" si="15"/>
        <v>1.9565843335471813E-2</v>
      </c>
      <c r="F482" s="14"/>
      <c r="G482" s="14"/>
    </row>
    <row r="483" spans="1:7" ht="14.25" customHeight="1" x14ac:dyDescent="0.3">
      <c r="A483" s="41">
        <v>44630</v>
      </c>
      <c r="B483" s="42">
        <v>1728.19995117188</v>
      </c>
      <c r="C483" s="42">
        <v>16594.900390625</v>
      </c>
      <c r="D483" s="289">
        <f t="shared" si="14"/>
        <v>1.5267387190474546E-2</v>
      </c>
      <c r="E483" s="289">
        <f t="shared" si="15"/>
        <v>2.2029037568015903E-2</v>
      </c>
      <c r="F483" s="14"/>
      <c r="G483" s="14"/>
    </row>
    <row r="484" spans="1:7" ht="14.25" customHeight="1" x14ac:dyDescent="0.3">
      <c r="A484" s="41">
        <v>44631</v>
      </c>
      <c r="B484" s="42">
        <v>1728.65002441406</v>
      </c>
      <c r="C484" s="42">
        <v>16630.44921875</v>
      </c>
      <c r="D484" s="289">
        <f t="shared" si="14"/>
        <v>2.14215375134657E-3</v>
      </c>
      <c r="E484" s="289">
        <f t="shared" si="15"/>
        <v>2.6042891731064177E-4</v>
      </c>
      <c r="F484" s="14"/>
      <c r="G484" s="14"/>
    </row>
    <row r="485" spans="1:7" ht="14.25" customHeight="1" x14ac:dyDescent="0.3">
      <c r="A485" s="41">
        <v>44634</v>
      </c>
      <c r="B485" s="42">
        <v>1746.75</v>
      </c>
      <c r="C485" s="42">
        <v>16871.30078125</v>
      </c>
      <c r="D485" s="289">
        <f t="shared" si="14"/>
        <v>1.4482565042708041E-2</v>
      </c>
      <c r="E485" s="289">
        <f t="shared" si="15"/>
        <v>1.0470584172799891E-2</v>
      </c>
      <c r="F485" s="14"/>
      <c r="G485" s="14"/>
    </row>
    <row r="486" spans="1:7" ht="14.25" customHeight="1" x14ac:dyDescent="0.3">
      <c r="A486" s="41">
        <v>44635</v>
      </c>
      <c r="B486" s="42">
        <v>1743.44995117188</v>
      </c>
      <c r="C486" s="42">
        <v>16663</v>
      </c>
      <c r="D486" s="289">
        <f t="shared" si="14"/>
        <v>-1.2346456503312184E-2</v>
      </c>
      <c r="E486" s="289">
        <f t="shared" si="15"/>
        <v>-1.8892507961185045E-3</v>
      </c>
      <c r="F486" s="14"/>
      <c r="G486" s="14"/>
    </row>
    <row r="487" spans="1:7" ht="14.25" customHeight="1" x14ac:dyDescent="0.3">
      <c r="A487" s="41">
        <v>44636</v>
      </c>
      <c r="B487" s="42">
        <v>1756.19995117188</v>
      </c>
      <c r="C487" s="42">
        <v>16975.349609375</v>
      </c>
      <c r="D487" s="289">
        <f t="shared" si="14"/>
        <v>1.8745100484606612E-2</v>
      </c>
      <c r="E487" s="289">
        <f t="shared" si="15"/>
        <v>7.313086327158368E-3</v>
      </c>
      <c r="F487" s="14"/>
      <c r="G487" s="14"/>
    </row>
    <row r="488" spans="1:7" ht="14.25" customHeight="1" x14ac:dyDescent="0.3">
      <c r="A488" s="41">
        <v>44637</v>
      </c>
      <c r="B488" s="42">
        <v>1787.90002441406</v>
      </c>
      <c r="C488" s="42">
        <v>17287.05078125</v>
      </c>
      <c r="D488" s="289">
        <f t="shared" si="14"/>
        <v>1.8361988356508215E-2</v>
      </c>
      <c r="E488" s="289">
        <f t="shared" si="15"/>
        <v>1.8050378159404412E-2</v>
      </c>
      <c r="F488" s="14"/>
      <c r="G488" s="14"/>
    </row>
    <row r="489" spans="1:7" ht="14.25" customHeight="1" x14ac:dyDescent="0.3">
      <c r="A489" s="41">
        <v>44641</v>
      </c>
      <c r="B489" s="42">
        <v>1756.30004882813</v>
      </c>
      <c r="C489" s="42">
        <v>17117.599609375</v>
      </c>
      <c r="D489" s="289">
        <f t="shared" si="14"/>
        <v>-9.80220247046369E-3</v>
      </c>
      <c r="E489" s="289">
        <f t="shared" si="15"/>
        <v>-1.767435267880043E-2</v>
      </c>
      <c r="F489" s="14"/>
      <c r="G489" s="14"/>
    </row>
    <row r="490" spans="1:7" ht="14.25" customHeight="1" x14ac:dyDescent="0.3">
      <c r="A490" s="41">
        <v>44642</v>
      </c>
      <c r="B490" s="42">
        <v>1774.05004882813</v>
      </c>
      <c r="C490" s="42">
        <v>17315.5</v>
      </c>
      <c r="D490" s="289">
        <f t="shared" si="14"/>
        <v>1.1561223252155842E-2</v>
      </c>
      <c r="E490" s="289">
        <f t="shared" si="15"/>
        <v>1.0106473556066614E-2</v>
      </c>
      <c r="F490" s="14"/>
      <c r="G490" s="14"/>
    </row>
    <row r="491" spans="1:7" ht="14.25" customHeight="1" x14ac:dyDescent="0.3">
      <c r="A491" s="41">
        <v>44643</v>
      </c>
      <c r="B491" s="42">
        <v>1767.25</v>
      </c>
      <c r="C491" s="42">
        <v>17245.650390625</v>
      </c>
      <c r="D491" s="289">
        <f t="shared" si="14"/>
        <v>-4.0339354552279749E-3</v>
      </c>
      <c r="E491" s="289">
        <f t="shared" si="15"/>
        <v>-3.8330648183357938E-3</v>
      </c>
      <c r="F491" s="14"/>
      <c r="G491" s="14"/>
    </row>
    <row r="492" spans="1:7" ht="14.25" customHeight="1" x14ac:dyDescent="0.3">
      <c r="A492" s="41">
        <v>44644</v>
      </c>
      <c r="B492" s="42">
        <v>1771.55004882813</v>
      </c>
      <c r="C492" s="42">
        <v>17222.75</v>
      </c>
      <c r="D492" s="289">
        <f t="shared" si="14"/>
        <v>-1.3278937068937106E-3</v>
      </c>
      <c r="E492" s="289">
        <f t="shared" si="15"/>
        <v>2.4331864920809181E-3</v>
      </c>
      <c r="F492" s="14"/>
      <c r="G492" s="14"/>
    </row>
    <row r="493" spans="1:7" ht="14.25" customHeight="1" x14ac:dyDescent="0.3">
      <c r="A493" s="41">
        <v>44645</v>
      </c>
      <c r="B493" s="42">
        <v>1751.09997558594</v>
      </c>
      <c r="C493" s="42">
        <v>17153</v>
      </c>
      <c r="D493" s="289">
        <f t="shared" si="14"/>
        <v>-4.0498758909001172E-3</v>
      </c>
      <c r="E493" s="289">
        <f t="shared" si="15"/>
        <v>-1.1543604571441605E-2</v>
      </c>
      <c r="F493" s="14"/>
      <c r="G493" s="14"/>
    </row>
    <row r="494" spans="1:7" ht="14.25" customHeight="1" x14ac:dyDescent="0.3">
      <c r="A494" s="41">
        <v>44648</v>
      </c>
      <c r="B494" s="42">
        <v>1741.59997558594</v>
      </c>
      <c r="C494" s="42">
        <v>17222</v>
      </c>
      <c r="D494" s="289">
        <f t="shared" si="14"/>
        <v>4.022619949862998E-3</v>
      </c>
      <c r="E494" s="289">
        <f t="shared" si="15"/>
        <v>-5.4251614028040752E-3</v>
      </c>
      <c r="F494" s="14"/>
      <c r="G494" s="14"/>
    </row>
    <row r="495" spans="1:7" ht="14.25" customHeight="1" x14ac:dyDescent="0.3">
      <c r="A495" s="41">
        <v>44649</v>
      </c>
      <c r="B495" s="42">
        <v>1746.65002441406</v>
      </c>
      <c r="C495" s="42">
        <v>17325.30078125</v>
      </c>
      <c r="D495" s="289">
        <f t="shared" si="14"/>
        <v>5.9981872749970966E-3</v>
      </c>
      <c r="E495" s="289">
        <f t="shared" si="15"/>
        <v>2.8996605988243487E-3</v>
      </c>
      <c r="F495" s="14"/>
      <c r="G495" s="14"/>
    </row>
    <row r="496" spans="1:7" ht="14.25" customHeight="1" x14ac:dyDescent="0.3">
      <c r="A496" s="41">
        <v>44650</v>
      </c>
      <c r="B496" s="42">
        <v>1773.59997558594</v>
      </c>
      <c r="C496" s="42">
        <v>17498.25</v>
      </c>
      <c r="D496" s="289">
        <f t="shared" si="14"/>
        <v>9.9824655821947536E-3</v>
      </c>
      <c r="E496" s="289">
        <f t="shared" si="15"/>
        <v>1.5429508370413682E-2</v>
      </c>
      <c r="F496" s="14"/>
      <c r="G496" s="14"/>
    </row>
    <row r="497" spans="1:7" ht="14.25" customHeight="1" x14ac:dyDescent="0.3">
      <c r="A497" s="41">
        <v>44651</v>
      </c>
      <c r="B497" s="42">
        <v>1767.65002441406</v>
      </c>
      <c r="C497" s="42">
        <v>17464.75</v>
      </c>
      <c r="D497" s="289">
        <f t="shared" si="14"/>
        <v>-1.9144771620019144E-3</v>
      </c>
      <c r="E497" s="289">
        <f t="shared" si="15"/>
        <v>-3.3547311985693568E-3</v>
      </c>
      <c r="F497" s="14"/>
      <c r="G497" s="14"/>
    </row>
    <row r="498" spans="1:7" ht="14.25" customHeight="1" x14ac:dyDescent="0.3">
      <c r="A498" s="41">
        <v>44652</v>
      </c>
      <c r="B498" s="42">
        <v>1790.09997558594</v>
      </c>
      <c r="C498" s="42">
        <v>17670.44921875</v>
      </c>
      <c r="D498" s="289">
        <f t="shared" si="14"/>
        <v>1.1777965258592307E-2</v>
      </c>
      <c r="E498" s="289">
        <f t="shared" si="15"/>
        <v>1.2700450237213503E-2</v>
      </c>
      <c r="F498" s="14"/>
      <c r="G498" s="14"/>
    </row>
    <row r="499" spans="1:7" ht="14.25" customHeight="1" x14ac:dyDescent="0.3">
      <c r="A499" s="41">
        <v>44655</v>
      </c>
      <c r="B499" s="42">
        <v>1826.34997558594</v>
      </c>
      <c r="C499" s="42">
        <v>18053.400390625</v>
      </c>
      <c r="D499" s="289">
        <f t="shared" si="14"/>
        <v>2.1671841339984326E-2</v>
      </c>
      <c r="E499" s="289">
        <f t="shared" si="15"/>
        <v>2.0250265624485335E-2</v>
      </c>
      <c r="F499" s="14"/>
      <c r="G499" s="14"/>
    </row>
    <row r="500" spans="1:7" ht="14.25" customHeight="1" x14ac:dyDescent="0.3">
      <c r="A500" s="41">
        <v>44656</v>
      </c>
      <c r="B500" s="42">
        <v>1836.05004882813</v>
      </c>
      <c r="C500" s="42">
        <v>17957.400390625</v>
      </c>
      <c r="D500" s="289">
        <f t="shared" si="14"/>
        <v>-5.3175577964720763E-3</v>
      </c>
      <c r="E500" s="289">
        <f t="shared" si="15"/>
        <v>5.3111798789155775E-3</v>
      </c>
      <c r="F500" s="14"/>
      <c r="G500" s="14"/>
    </row>
    <row r="501" spans="1:7" ht="14.25" customHeight="1" x14ac:dyDescent="0.3">
      <c r="A501" s="41">
        <v>44657</v>
      </c>
      <c r="B501" s="42">
        <v>1852.80004882813</v>
      </c>
      <c r="C501" s="42">
        <v>17807.650390625</v>
      </c>
      <c r="D501" s="289">
        <f t="shared" si="14"/>
        <v>-8.3391803235717699E-3</v>
      </c>
      <c r="E501" s="289">
        <f t="shared" si="15"/>
        <v>9.1228449958054188E-3</v>
      </c>
      <c r="F501" s="14"/>
      <c r="G501" s="14"/>
    </row>
    <row r="502" spans="1:7" ht="14.25" customHeight="1" x14ac:dyDescent="0.3">
      <c r="A502" s="41">
        <v>44658</v>
      </c>
      <c r="B502" s="42">
        <v>1826.30004882813</v>
      </c>
      <c r="C502" s="42">
        <v>17639.55078125</v>
      </c>
      <c r="D502" s="289">
        <f t="shared" si="14"/>
        <v>-9.4397411049521492E-3</v>
      </c>
      <c r="E502" s="289">
        <f t="shared" si="15"/>
        <v>-1.430267665243256E-2</v>
      </c>
      <c r="F502" s="14"/>
      <c r="G502" s="14"/>
    </row>
    <row r="503" spans="1:7" ht="14.25" customHeight="1" x14ac:dyDescent="0.3">
      <c r="A503" s="41">
        <v>44659</v>
      </c>
      <c r="B503" s="42">
        <v>1830.75</v>
      </c>
      <c r="C503" s="42">
        <v>17784.349609375</v>
      </c>
      <c r="D503" s="289">
        <f t="shared" si="14"/>
        <v>8.2087593907954979E-3</v>
      </c>
      <c r="E503" s="289">
        <f t="shared" si="15"/>
        <v>2.4365936882744807E-3</v>
      </c>
      <c r="F503" s="14"/>
      <c r="G503" s="14"/>
    </row>
    <row r="504" spans="1:7" ht="14.25" customHeight="1" x14ac:dyDescent="0.3">
      <c r="A504" s="41">
        <v>44662</v>
      </c>
      <c r="B504" s="42">
        <v>1781.5</v>
      </c>
      <c r="C504" s="42">
        <v>17674.94921875</v>
      </c>
      <c r="D504" s="289">
        <f t="shared" si="14"/>
        <v>-6.1514979759130298E-3</v>
      </c>
      <c r="E504" s="289">
        <f t="shared" si="15"/>
        <v>-2.6901543083435751E-2</v>
      </c>
      <c r="F504" s="14"/>
      <c r="G504" s="14"/>
    </row>
    <row r="505" spans="1:7" ht="14.25" customHeight="1" x14ac:dyDescent="0.3">
      <c r="A505" s="41">
        <v>44663</v>
      </c>
      <c r="B505" s="42">
        <v>1747.69995117188</v>
      </c>
      <c r="C505" s="42">
        <v>17530.30078125</v>
      </c>
      <c r="D505" s="289">
        <f t="shared" si="14"/>
        <v>-8.1838106412522836E-3</v>
      </c>
      <c r="E505" s="289">
        <f t="shared" si="15"/>
        <v>-1.8972803159202918E-2</v>
      </c>
      <c r="F505" s="14"/>
      <c r="G505" s="14"/>
    </row>
    <row r="506" spans="1:7" ht="14.25" customHeight="1" x14ac:dyDescent="0.3">
      <c r="A506" s="41">
        <v>44664</v>
      </c>
      <c r="B506" s="42">
        <v>1760.80004882813</v>
      </c>
      <c r="C506" s="42">
        <v>17475.650390625</v>
      </c>
      <c r="D506" s="289">
        <f t="shared" si="14"/>
        <v>-3.1174816283501979E-3</v>
      </c>
      <c r="E506" s="289">
        <f t="shared" si="15"/>
        <v>7.4956216869297449E-3</v>
      </c>
      <c r="F506" s="14"/>
      <c r="G506" s="14"/>
    </row>
    <row r="507" spans="1:7" ht="14.25" customHeight="1" x14ac:dyDescent="0.3">
      <c r="A507" s="41">
        <v>44669</v>
      </c>
      <c r="B507" s="42">
        <v>1738.34997558594</v>
      </c>
      <c r="C507" s="42">
        <v>17173.650390625</v>
      </c>
      <c r="D507" s="289">
        <f t="shared" si="14"/>
        <v>-1.7281188010147601E-2</v>
      </c>
      <c r="E507" s="289">
        <f t="shared" si="15"/>
        <v>-1.2749927657675419E-2</v>
      </c>
      <c r="F507" s="14"/>
      <c r="G507" s="14"/>
    </row>
    <row r="508" spans="1:7" ht="14.25" customHeight="1" x14ac:dyDescent="0.3">
      <c r="A508" s="41">
        <v>44670</v>
      </c>
      <c r="B508" s="42">
        <v>1705.75</v>
      </c>
      <c r="C508" s="42">
        <v>16958.650390625</v>
      </c>
      <c r="D508" s="289">
        <f t="shared" si="14"/>
        <v>-1.2519178806467803E-2</v>
      </c>
      <c r="E508" s="289">
        <f t="shared" si="15"/>
        <v>-1.8753401814241479E-2</v>
      </c>
      <c r="F508" s="14"/>
      <c r="G508" s="14"/>
    </row>
    <row r="509" spans="1:7" ht="14.25" customHeight="1" x14ac:dyDescent="0.3">
      <c r="A509" s="41">
        <v>44671</v>
      </c>
      <c r="B509" s="42">
        <v>1691.59997558594</v>
      </c>
      <c r="C509" s="42">
        <v>17136.55078125</v>
      </c>
      <c r="D509" s="289">
        <f t="shared" si="14"/>
        <v>1.0490244596547968E-2</v>
      </c>
      <c r="E509" s="289">
        <f t="shared" si="15"/>
        <v>-8.2954855131525708E-3</v>
      </c>
      <c r="F509" s="14"/>
      <c r="G509" s="14"/>
    </row>
    <row r="510" spans="1:7" ht="14.25" customHeight="1" x14ac:dyDescent="0.3">
      <c r="A510" s="41">
        <v>44672</v>
      </c>
      <c r="B510" s="42">
        <v>1714.5</v>
      </c>
      <c r="C510" s="42">
        <v>17392.599609375</v>
      </c>
      <c r="D510" s="289">
        <f t="shared" si="14"/>
        <v>1.4941678252146078E-2</v>
      </c>
      <c r="E510" s="289">
        <f t="shared" si="15"/>
        <v>1.3537493937435084E-2</v>
      </c>
      <c r="F510" s="14"/>
      <c r="G510" s="14"/>
    </row>
    <row r="511" spans="1:7" ht="14.25" customHeight="1" x14ac:dyDescent="0.3">
      <c r="A511" s="41">
        <v>44673</v>
      </c>
      <c r="B511" s="42">
        <v>1694.34997558594</v>
      </c>
      <c r="C511" s="42">
        <v>17171.94921875</v>
      </c>
      <c r="D511" s="289">
        <f t="shared" si="14"/>
        <v>-1.2686452605168035E-2</v>
      </c>
      <c r="E511" s="289">
        <f t="shared" si="15"/>
        <v>-1.1752711819224264E-2</v>
      </c>
      <c r="F511" s="14"/>
      <c r="G511" s="14"/>
    </row>
    <row r="512" spans="1:7" ht="14.25" customHeight="1" x14ac:dyDescent="0.3">
      <c r="A512" s="41">
        <v>44676</v>
      </c>
      <c r="B512" s="42">
        <v>1657.34997558594</v>
      </c>
      <c r="C512" s="42">
        <v>16953.94921875</v>
      </c>
      <c r="D512" s="289">
        <f t="shared" si="14"/>
        <v>-1.2695122564301929E-2</v>
      </c>
      <c r="E512" s="289">
        <f t="shared" si="15"/>
        <v>-2.1837283048447332E-2</v>
      </c>
      <c r="F512" s="14"/>
      <c r="G512" s="14"/>
    </row>
    <row r="513" spans="1:7" ht="14.25" customHeight="1" x14ac:dyDescent="0.3">
      <c r="A513" s="41">
        <v>44677</v>
      </c>
      <c r="B513" s="42">
        <v>1699.94995117188</v>
      </c>
      <c r="C513" s="42">
        <v>17200.80078125</v>
      </c>
      <c r="D513" s="289">
        <f t="shared" si="14"/>
        <v>1.4560121616207138E-2</v>
      </c>
      <c r="E513" s="289">
        <f t="shared" si="15"/>
        <v>2.5703669239129288E-2</v>
      </c>
      <c r="F513" s="14"/>
      <c r="G513" s="14"/>
    </row>
    <row r="514" spans="1:7" ht="14.25" customHeight="1" x14ac:dyDescent="0.3">
      <c r="A514" s="41">
        <v>44678</v>
      </c>
      <c r="B514" s="42">
        <v>1677.05004882813</v>
      </c>
      <c r="C514" s="42">
        <v>17038.400390625</v>
      </c>
      <c r="D514" s="289">
        <f t="shared" si="14"/>
        <v>-9.4414436101153531E-3</v>
      </c>
      <c r="E514" s="289">
        <f t="shared" si="15"/>
        <v>-1.3470927381105361E-2</v>
      </c>
      <c r="F514" s="14"/>
      <c r="G514" s="14"/>
    </row>
    <row r="515" spans="1:7" ht="14.25" customHeight="1" x14ac:dyDescent="0.3">
      <c r="A515" s="41">
        <v>44679</v>
      </c>
      <c r="B515" s="42">
        <v>1719.25</v>
      </c>
      <c r="C515" s="42">
        <v>17245.05078125</v>
      </c>
      <c r="D515" s="289">
        <f t="shared" ref="D515:D578" si="16">(C515-C514)/C514</f>
        <v>1.2128508890934666E-2</v>
      </c>
      <c r="E515" s="289">
        <f t="shared" ref="E515:E578" si="17">(B515-B514)/B514</f>
        <v>2.5163203209920895E-2</v>
      </c>
      <c r="F515" s="14"/>
      <c r="G515" s="14"/>
    </row>
    <row r="516" spans="1:7" ht="14.25" customHeight="1" x14ac:dyDescent="0.3">
      <c r="A516" s="41">
        <v>44680</v>
      </c>
      <c r="B516" s="42">
        <v>1694.34997558594</v>
      </c>
      <c r="C516" s="42">
        <v>17102.55078125</v>
      </c>
      <c r="D516" s="289">
        <f t="shared" si="16"/>
        <v>-8.2632403816946566E-3</v>
      </c>
      <c r="E516" s="289">
        <f t="shared" si="17"/>
        <v>-1.4483073674020647E-2</v>
      </c>
      <c r="F516" s="14"/>
      <c r="G516" s="14"/>
    </row>
    <row r="517" spans="1:7" ht="14.25" customHeight="1" x14ac:dyDescent="0.3">
      <c r="A517" s="41">
        <v>44683</v>
      </c>
      <c r="B517" s="42">
        <v>1679.44995117188</v>
      </c>
      <c r="C517" s="42">
        <v>17069.099609375</v>
      </c>
      <c r="D517" s="289">
        <f t="shared" si="16"/>
        <v>-1.9559171203674158E-3</v>
      </c>
      <c r="E517" s="289">
        <f t="shared" si="17"/>
        <v>-8.7939473123946985E-3</v>
      </c>
      <c r="F517" s="14"/>
      <c r="G517" s="14"/>
    </row>
    <row r="518" spans="1:7" ht="14.25" customHeight="1" x14ac:dyDescent="0.3">
      <c r="A518" s="41">
        <v>44685</v>
      </c>
      <c r="B518" s="42">
        <v>1633.94995117188</v>
      </c>
      <c r="C518" s="42">
        <v>16677.599609375</v>
      </c>
      <c r="D518" s="289">
        <f t="shared" si="16"/>
        <v>-2.2936183451936345E-2</v>
      </c>
      <c r="E518" s="289">
        <f t="shared" si="17"/>
        <v>-2.7092203592164917E-2</v>
      </c>
      <c r="F518" s="14"/>
      <c r="G518" s="14"/>
    </row>
    <row r="519" spans="1:7" ht="14.25" customHeight="1" x14ac:dyDescent="0.3">
      <c r="A519" s="41">
        <v>44686</v>
      </c>
      <c r="B519" s="42">
        <v>1637.65002441406</v>
      </c>
      <c r="C519" s="42">
        <v>16682.650390625</v>
      </c>
      <c r="D519" s="289">
        <f t="shared" si="16"/>
        <v>3.0284821366983761E-4</v>
      </c>
      <c r="E519" s="289">
        <f t="shared" si="17"/>
        <v>2.264496069494833E-3</v>
      </c>
      <c r="F519" s="14"/>
      <c r="G519" s="14"/>
    </row>
    <row r="520" spans="1:7" ht="14.25" customHeight="1" x14ac:dyDescent="0.3">
      <c r="A520" s="41">
        <v>44687</v>
      </c>
      <c r="B520" s="42">
        <v>1622.44995117188</v>
      </c>
      <c r="C520" s="42">
        <v>16411.25</v>
      </c>
      <c r="D520" s="289">
        <f t="shared" si="16"/>
        <v>-1.6268421639856246E-2</v>
      </c>
      <c r="E520" s="289">
        <f t="shared" si="17"/>
        <v>-9.281637111456997E-3</v>
      </c>
      <c r="F520" s="14"/>
      <c r="G520" s="14"/>
    </row>
    <row r="521" spans="1:7" ht="14.25" customHeight="1" x14ac:dyDescent="0.3">
      <c r="A521" s="41">
        <v>44690</v>
      </c>
      <c r="B521" s="42">
        <v>1616.15002441406</v>
      </c>
      <c r="C521" s="42">
        <v>16301.849609375</v>
      </c>
      <c r="D521" s="289">
        <f t="shared" si="16"/>
        <v>-6.6661826871810496E-3</v>
      </c>
      <c r="E521" s="289">
        <f t="shared" si="17"/>
        <v>-3.8829713996845492E-3</v>
      </c>
      <c r="F521" s="14"/>
      <c r="G521" s="14"/>
    </row>
    <row r="522" spans="1:7" ht="14.25" customHeight="1" x14ac:dyDescent="0.3">
      <c r="A522" s="41">
        <v>44691</v>
      </c>
      <c r="B522" s="42">
        <v>1607.94995117188</v>
      </c>
      <c r="C522" s="42">
        <v>16240.0498046875</v>
      </c>
      <c r="D522" s="289">
        <f t="shared" si="16"/>
        <v>-3.7909688880922855E-3</v>
      </c>
      <c r="E522" s="289">
        <f t="shared" si="17"/>
        <v>-5.0738317101179748E-3</v>
      </c>
      <c r="F522" s="14"/>
      <c r="G522" s="14"/>
    </row>
    <row r="523" spans="1:7" ht="14.25" customHeight="1" x14ac:dyDescent="0.3">
      <c r="A523" s="41">
        <v>44692</v>
      </c>
      <c r="B523" s="42">
        <v>1570.80004882813</v>
      </c>
      <c r="C523" s="42">
        <v>16167.099609375</v>
      </c>
      <c r="D523" s="289">
        <f t="shared" si="16"/>
        <v>-4.4919933245182401E-3</v>
      </c>
      <c r="E523" s="289">
        <f t="shared" si="17"/>
        <v>-2.3103892205522326E-2</v>
      </c>
      <c r="F523" s="14"/>
      <c r="G523" s="14"/>
    </row>
    <row r="524" spans="1:7" ht="14.25" customHeight="1" x14ac:dyDescent="0.3">
      <c r="A524" s="41">
        <v>44693</v>
      </c>
      <c r="B524" s="42">
        <v>1526.15002441406</v>
      </c>
      <c r="C524" s="42">
        <v>15808</v>
      </c>
      <c r="D524" s="289">
        <f t="shared" si="16"/>
        <v>-2.2211752141785831E-2</v>
      </c>
      <c r="E524" s="289">
        <f t="shared" si="17"/>
        <v>-2.8425021025037803E-2</v>
      </c>
      <c r="F524" s="14"/>
      <c r="G524" s="14"/>
    </row>
    <row r="525" spans="1:7" ht="14.25" customHeight="1" x14ac:dyDescent="0.3">
      <c r="A525" s="41">
        <v>44694</v>
      </c>
      <c r="B525" s="42">
        <v>1534.5</v>
      </c>
      <c r="C525" s="42">
        <v>15782.150390625</v>
      </c>
      <c r="D525" s="289">
        <f t="shared" si="16"/>
        <v>-1.6352232651189271E-3</v>
      </c>
      <c r="E525" s="289">
        <f t="shared" si="17"/>
        <v>5.4712678651273727E-3</v>
      </c>
      <c r="F525" s="14"/>
      <c r="G525" s="14"/>
    </row>
    <row r="526" spans="1:7" ht="14.25" customHeight="1" x14ac:dyDescent="0.3">
      <c r="A526" s="41">
        <v>44697</v>
      </c>
      <c r="B526" s="42">
        <v>1542.90002441406</v>
      </c>
      <c r="C526" s="42">
        <v>15842.2998046875</v>
      </c>
      <c r="D526" s="289">
        <f t="shared" si="16"/>
        <v>3.8112305721171107E-3</v>
      </c>
      <c r="E526" s="289">
        <f t="shared" si="17"/>
        <v>5.4741117067839684E-3</v>
      </c>
      <c r="F526" s="14"/>
      <c r="G526" s="14"/>
    </row>
    <row r="527" spans="1:7" ht="14.25" customHeight="1" x14ac:dyDescent="0.3">
      <c r="A527" s="41">
        <v>44698</v>
      </c>
      <c r="B527" s="42">
        <v>1604.09997558594</v>
      </c>
      <c r="C527" s="42">
        <v>16259.2998046875</v>
      </c>
      <c r="D527" s="289">
        <f t="shared" si="16"/>
        <v>2.6321935902047247E-2</v>
      </c>
      <c r="E527" s="289">
        <f t="shared" si="17"/>
        <v>3.9665532570797399E-2</v>
      </c>
      <c r="F527" s="14"/>
      <c r="G527" s="14"/>
    </row>
    <row r="528" spans="1:7" ht="14.25" customHeight="1" x14ac:dyDescent="0.3">
      <c r="A528" s="41">
        <v>44699</v>
      </c>
      <c r="B528" s="42">
        <v>1572.5</v>
      </c>
      <c r="C528" s="42">
        <v>16240.2998046875</v>
      </c>
      <c r="D528" s="289">
        <f t="shared" si="16"/>
        <v>-1.1685620062508698E-3</v>
      </c>
      <c r="E528" s="289">
        <f t="shared" si="17"/>
        <v>-1.9699505060086591E-2</v>
      </c>
      <c r="F528" s="14"/>
      <c r="G528" s="14"/>
    </row>
    <row r="529" spans="1:7" ht="14.25" customHeight="1" x14ac:dyDescent="0.3">
      <c r="A529" s="41">
        <v>44700</v>
      </c>
      <c r="B529" s="42">
        <v>1547.94995117188</v>
      </c>
      <c r="C529" s="42">
        <v>15809.400390625</v>
      </c>
      <c r="D529" s="289">
        <f t="shared" si="16"/>
        <v>-2.6532725334179351E-2</v>
      </c>
      <c r="E529" s="289">
        <f t="shared" si="17"/>
        <v>-1.5612113722174879E-2</v>
      </c>
      <c r="F529" s="14"/>
      <c r="G529" s="14"/>
    </row>
    <row r="530" spans="1:7" ht="14.25" customHeight="1" x14ac:dyDescent="0.3">
      <c r="A530" s="41">
        <v>44701</v>
      </c>
      <c r="B530" s="42">
        <v>1610.09997558594</v>
      </c>
      <c r="C530" s="42">
        <v>16266.150390625</v>
      </c>
      <c r="D530" s="289">
        <f t="shared" si="16"/>
        <v>2.8891038794289343E-2</v>
      </c>
      <c r="E530" s="289">
        <f t="shared" si="17"/>
        <v>4.0149892680321569E-2</v>
      </c>
      <c r="F530" s="14"/>
      <c r="G530" s="14"/>
    </row>
    <row r="531" spans="1:7" ht="14.25" customHeight="1" x14ac:dyDescent="0.3">
      <c r="A531" s="41">
        <v>44704</v>
      </c>
      <c r="B531" s="42">
        <v>1644.15002441406</v>
      </c>
      <c r="C531" s="42">
        <v>16214.7001953125</v>
      </c>
      <c r="D531" s="289">
        <f t="shared" si="16"/>
        <v>-3.1630222318707523E-3</v>
      </c>
      <c r="E531" s="289">
        <f t="shared" si="17"/>
        <v>2.114778544464524E-2</v>
      </c>
      <c r="F531" s="14"/>
      <c r="G531" s="14"/>
    </row>
    <row r="532" spans="1:7" ht="14.25" customHeight="1" x14ac:dyDescent="0.3">
      <c r="A532" s="41">
        <v>44705</v>
      </c>
      <c r="B532" s="42">
        <v>1626.30004882813</v>
      </c>
      <c r="C532" s="42">
        <v>16125.150390625</v>
      </c>
      <c r="D532" s="289">
        <f t="shared" si="16"/>
        <v>-5.5227542667355585E-3</v>
      </c>
      <c r="E532" s="289">
        <f t="shared" si="17"/>
        <v>-1.0856658650898568E-2</v>
      </c>
      <c r="F532" s="14"/>
      <c r="G532" s="14"/>
    </row>
    <row r="533" spans="1:7" ht="14.25" customHeight="1" x14ac:dyDescent="0.3">
      <c r="A533" s="41">
        <v>44706</v>
      </c>
      <c r="B533" s="42">
        <v>1574.75</v>
      </c>
      <c r="C533" s="42">
        <v>16025.7998046875</v>
      </c>
      <c r="D533" s="289">
        <f t="shared" si="16"/>
        <v>-6.1612191843656494E-3</v>
      </c>
      <c r="E533" s="289">
        <f t="shared" si="17"/>
        <v>-3.1697747820444107E-2</v>
      </c>
      <c r="F533" s="14"/>
      <c r="G533" s="14"/>
    </row>
    <row r="534" spans="1:7" ht="14.25" customHeight="1" x14ac:dyDescent="0.3">
      <c r="A534" s="41">
        <v>44707</v>
      </c>
      <c r="B534" s="42">
        <v>1564.55004882813</v>
      </c>
      <c r="C534" s="42">
        <v>16170.150390625</v>
      </c>
      <c r="D534" s="289">
        <f t="shared" si="16"/>
        <v>9.0073873189953288E-3</v>
      </c>
      <c r="E534" s="289">
        <f t="shared" si="17"/>
        <v>-6.4771875992189224E-3</v>
      </c>
      <c r="F534" s="14"/>
      <c r="G534" s="14"/>
    </row>
    <row r="535" spans="1:7" ht="14.25" customHeight="1" x14ac:dyDescent="0.3">
      <c r="A535" s="41">
        <v>44708</v>
      </c>
      <c r="B535" s="42">
        <v>1600.30004882813</v>
      </c>
      <c r="C535" s="42">
        <v>16352.4501953125</v>
      </c>
      <c r="D535" s="289">
        <f t="shared" si="16"/>
        <v>1.1273847198922301E-2</v>
      </c>
      <c r="E535" s="289">
        <f t="shared" si="17"/>
        <v>2.285002005961858E-2</v>
      </c>
      <c r="F535" s="14"/>
      <c r="G535" s="14"/>
    </row>
    <row r="536" spans="1:7" ht="14.25" customHeight="1" x14ac:dyDescent="0.3">
      <c r="A536" s="41">
        <v>44711</v>
      </c>
      <c r="B536" s="42">
        <v>1660.84997558594</v>
      </c>
      <c r="C536" s="42">
        <v>16661.400390625</v>
      </c>
      <c r="D536" s="289">
        <f t="shared" si="16"/>
        <v>1.8893205092962884E-2</v>
      </c>
      <c r="E536" s="289">
        <f t="shared" si="17"/>
        <v>3.7836608704817316E-2</v>
      </c>
      <c r="F536" s="14"/>
      <c r="G536" s="14"/>
    </row>
    <row r="537" spans="1:7" ht="14.25" customHeight="1" x14ac:dyDescent="0.3">
      <c r="A537" s="41">
        <v>44712</v>
      </c>
      <c r="B537" s="42">
        <v>1654.5</v>
      </c>
      <c r="C537" s="42">
        <v>16584.55078125</v>
      </c>
      <c r="D537" s="289">
        <f t="shared" si="16"/>
        <v>-4.6124339835348759E-3</v>
      </c>
      <c r="E537" s="289">
        <f t="shared" si="17"/>
        <v>-3.8233288251696301E-3</v>
      </c>
      <c r="F537" s="14"/>
      <c r="G537" s="14"/>
    </row>
    <row r="538" spans="1:7" ht="14.25" customHeight="1" x14ac:dyDescent="0.3">
      <c r="A538" s="41">
        <v>44713</v>
      </c>
      <c r="B538" s="42">
        <v>1648</v>
      </c>
      <c r="C538" s="42">
        <v>16522.75</v>
      </c>
      <c r="D538" s="289">
        <f t="shared" si="16"/>
        <v>-3.7264067061659654E-3</v>
      </c>
      <c r="E538" s="289">
        <f t="shared" si="17"/>
        <v>-3.9286793593230583E-3</v>
      </c>
      <c r="F538" s="14"/>
      <c r="G538" s="14"/>
    </row>
    <row r="539" spans="1:7" ht="14.25" customHeight="1" x14ac:dyDescent="0.3">
      <c r="A539" s="41">
        <v>44714</v>
      </c>
      <c r="B539" s="42">
        <v>1637.15002441406</v>
      </c>
      <c r="C539" s="42">
        <v>16628</v>
      </c>
      <c r="D539" s="289">
        <f t="shared" si="16"/>
        <v>6.3700049931155528E-3</v>
      </c>
      <c r="E539" s="289">
        <f t="shared" si="17"/>
        <v>-6.5837230497208746E-3</v>
      </c>
      <c r="F539" s="14"/>
      <c r="G539" s="14"/>
    </row>
    <row r="540" spans="1:7" ht="14.25" customHeight="1" x14ac:dyDescent="0.3">
      <c r="A540" s="41">
        <v>44715</v>
      </c>
      <c r="B540" s="42">
        <v>1652.05004882813</v>
      </c>
      <c r="C540" s="42">
        <v>16584.30078125</v>
      </c>
      <c r="D540" s="289">
        <f t="shared" si="16"/>
        <v>-2.6280502014674042E-3</v>
      </c>
      <c r="E540" s="289">
        <f t="shared" si="17"/>
        <v>9.1011967088372118E-3</v>
      </c>
      <c r="F540" s="14"/>
      <c r="G540" s="14"/>
    </row>
    <row r="541" spans="1:7" ht="14.25" customHeight="1" x14ac:dyDescent="0.3">
      <c r="A541" s="41">
        <v>44718</v>
      </c>
      <c r="B541" s="42">
        <v>1640.19995117188</v>
      </c>
      <c r="C541" s="42">
        <v>16569.55078125</v>
      </c>
      <c r="D541" s="289">
        <f t="shared" si="16"/>
        <v>-8.893953501299351E-4</v>
      </c>
      <c r="E541" s="289">
        <f t="shared" si="17"/>
        <v>-7.1729652891907138E-3</v>
      </c>
      <c r="F541" s="14"/>
      <c r="G541" s="14"/>
    </row>
    <row r="542" spans="1:7" ht="14.25" customHeight="1" x14ac:dyDescent="0.3">
      <c r="A542" s="41">
        <v>44719</v>
      </c>
      <c r="B542" s="42">
        <v>1589.44995117188</v>
      </c>
      <c r="C542" s="42">
        <v>16416.349609375</v>
      </c>
      <c r="D542" s="289">
        <f t="shared" si="16"/>
        <v>-9.2459460064760173E-3</v>
      </c>
      <c r="E542" s="289">
        <f t="shared" si="17"/>
        <v>-3.0941349537134451E-2</v>
      </c>
      <c r="F542" s="14"/>
      <c r="G542" s="14"/>
    </row>
    <row r="543" spans="1:7" ht="14.25" customHeight="1" x14ac:dyDescent="0.3">
      <c r="A543" s="41">
        <v>44720</v>
      </c>
      <c r="B543" s="42">
        <v>1584.55004882813</v>
      </c>
      <c r="C543" s="42">
        <v>16356.25</v>
      </c>
      <c r="D543" s="289">
        <f t="shared" si="16"/>
        <v>-3.6609606157923498E-3</v>
      </c>
      <c r="E543" s="289">
        <f t="shared" si="17"/>
        <v>-3.0827660475483158E-3</v>
      </c>
      <c r="F543" s="14"/>
      <c r="G543" s="14"/>
    </row>
    <row r="544" spans="1:7" ht="14.25" customHeight="1" x14ac:dyDescent="0.3">
      <c r="A544" s="41">
        <v>44721</v>
      </c>
      <c r="B544" s="42">
        <v>1595.09997558594</v>
      </c>
      <c r="C544" s="42">
        <v>16478.099609375</v>
      </c>
      <c r="D544" s="289">
        <f t="shared" si="16"/>
        <v>7.4497277416889565E-3</v>
      </c>
      <c r="E544" s="289">
        <f t="shared" si="17"/>
        <v>6.6579952874396761E-3</v>
      </c>
      <c r="F544" s="14"/>
      <c r="G544" s="14"/>
    </row>
    <row r="545" spans="1:7" ht="14.25" customHeight="1" x14ac:dyDescent="0.3">
      <c r="A545" s="41">
        <v>44722</v>
      </c>
      <c r="B545" s="42">
        <v>1585.09997558594</v>
      </c>
      <c r="C545" s="42">
        <v>16201.7998046875</v>
      </c>
      <c r="D545" s="289">
        <f t="shared" si="16"/>
        <v>-1.6767698414100061E-2</v>
      </c>
      <c r="E545" s="289">
        <f t="shared" si="17"/>
        <v>-6.2691995191878963E-3</v>
      </c>
      <c r="F545" s="14"/>
      <c r="G545" s="14"/>
    </row>
    <row r="546" spans="1:7" ht="14.25" customHeight="1" x14ac:dyDescent="0.3">
      <c r="A546" s="41">
        <v>44725</v>
      </c>
      <c r="B546" s="42">
        <v>1532.05004882813</v>
      </c>
      <c r="C546" s="42">
        <v>15774.400390625</v>
      </c>
      <c r="D546" s="289">
        <f t="shared" si="16"/>
        <v>-2.6379749115209097E-2</v>
      </c>
      <c r="E546" s="289">
        <f t="shared" si="17"/>
        <v>-3.346787431385824E-2</v>
      </c>
      <c r="F546" s="14"/>
      <c r="G546" s="14"/>
    </row>
    <row r="547" spans="1:7" ht="14.25" customHeight="1" x14ac:dyDescent="0.3">
      <c r="A547" s="41">
        <v>44726</v>
      </c>
      <c r="B547" s="42">
        <v>1544.65002441406</v>
      </c>
      <c r="C547" s="42">
        <v>15732.099609375</v>
      </c>
      <c r="D547" s="289">
        <f t="shared" si="16"/>
        <v>-2.6816094559854137E-3</v>
      </c>
      <c r="E547" s="289">
        <f t="shared" si="17"/>
        <v>8.2242584669918305E-3</v>
      </c>
      <c r="F547" s="14"/>
      <c r="G547" s="14"/>
    </row>
    <row r="548" spans="1:7" ht="14.25" customHeight="1" x14ac:dyDescent="0.3">
      <c r="A548" s="41">
        <v>44727</v>
      </c>
      <c r="B548" s="42">
        <v>1560.34997558594</v>
      </c>
      <c r="C548" s="42">
        <v>15692.150390625</v>
      </c>
      <c r="D548" s="289">
        <f t="shared" si="16"/>
        <v>-2.5393443813560425E-3</v>
      </c>
      <c r="E548" s="289">
        <f t="shared" si="17"/>
        <v>1.0164083076252528E-2</v>
      </c>
      <c r="F548" s="14"/>
      <c r="G548" s="14"/>
    </row>
    <row r="549" spans="1:7" ht="14.25" customHeight="1" x14ac:dyDescent="0.3">
      <c r="A549" s="41">
        <v>44728</v>
      </c>
      <c r="B549" s="42">
        <v>1527.40002441406</v>
      </c>
      <c r="C549" s="42">
        <v>15360.599609375</v>
      </c>
      <c r="D549" s="289">
        <f t="shared" si="16"/>
        <v>-2.1128447854290206E-2</v>
      </c>
      <c r="E549" s="289">
        <f t="shared" si="17"/>
        <v>-2.1117026107881146E-2</v>
      </c>
      <c r="F549" s="14"/>
      <c r="G549" s="14"/>
    </row>
    <row r="550" spans="1:7" ht="14.25" customHeight="1" x14ac:dyDescent="0.3">
      <c r="A550" s="41">
        <v>44729</v>
      </c>
      <c r="B550" s="42">
        <v>1489.94995117188</v>
      </c>
      <c r="C550" s="42">
        <v>15293.5</v>
      </c>
      <c r="D550" s="289">
        <f t="shared" si="16"/>
        <v>-4.3682936266398898E-3</v>
      </c>
      <c r="E550" s="289">
        <f t="shared" si="17"/>
        <v>-2.4518837661107518E-2</v>
      </c>
      <c r="F550" s="14"/>
      <c r="G550" s="14"/>
    </row>
    <row r="551" spans="1:7" ht="14.25" customHeight="1" x14ac:dyDescent="0.3">
      <c r="A551" s="41">
        <v>44732</v>
      </c>
      <c r="B551" s="42">
        <v>1471.80004882813</v>
      </c>
      <c r="C551" s="42">
        <v>15350.150390625</v>
      </c>
      <c r="D551" s="289">
        <f t="shared" si="16"/>
        <v>3.7042135956452085E-3</v>
      </c>
      <c r="E551" s="289">
        <f t="shared" si="17"/>
        <v>-1.218155168868235E-2</v>
      </c>
      <c r="F551" s="14"/>
      <c r="G551" s="14"/>
    </row>
    <row r="552" spans="1:7" ht="14.25" customHeight="1" x14ac:dyDescent="0.3">
      <c r="A552" s="41">
        <v>44733</v>
      </c>
      <c r="B552" s="42">
        <v>1500.30004882813</v>
      </c>
      <c r="C552" s="42">
        <v>15638.7998046875</v>
      </c>
      <c r="D552" s="289">
        <f t="shared" si="16"/>
        <v>1.8804337854487124E-2</v>
      </c>
      <c r="E552" s="289">
        <f t="shared" si="17"/>
        <v>1.9364043385303689E-2</v>
      </c>
      <c r="F552" s="14"/>
      <c r="G552" s="14"/>
    </row>
    <row r="553" spans="1:7" ht="14.25" customHeight="1" x14ac:dyDescent="0.3">
      <c r="A553" s="41">
        <v>44734</v>
      </c>
      <c r="B553" s="42">
        <v>1478.75</v>
      </c>
      <c r="C553" s="42">
        <v>15413.2998046875</v>
      </c>
      <c r="D553" s="289">
        <f t="shared" si="16"/>
        <v>-1.4419265085317462E-2</v>
      </c>
      <c r="E553" s="289">
        <f t="shared" si="17"/>
        <v>-1.436382598598363E-2</v>
      </c>
      <c r="F553" s="14"/>
      <c r="G553" s="14"/>
    </row>
    <row r="554" spans="1:7" ht="14.25" customHeight="1" x14ac:dyDescent="0.3">
      <c r="A554" s="41">
        <v>44735</v>
      </c>
      <c r="B554" s="42">
        <v>1494.30004882813</v>
      </c>
      <c r="C554" s="42">
        <v>15556.650390625</v>
      </c>
      <c r="D554" s="289">
        <f t="shared" si="16"/>
        <v>9.3004475196092756E-3</v>
      </c>
      <c r="E554" s="289">
        <f t="shared" si="17"/>
        <v>1.0515671227814034E-2</v>
      </c>
      <c r="F554" s="14"/>
      <c r="G554" s="14"/>
    </row>
    <row r="555" spans="1:7" ht="14.25" customHeight="1" x14ac:dyDescent="0.3">
      <c r="A555" s="41">
        <v>44736</v>
      </c>
      <c r="B555" s="42">
        <v>1494.84997558594</v>
      </c>
      <c r="C555" s="42">
        <v>15699.25</v>
      </c>
      <c r="D555" s="289">
        <f t="shared" si="16"/>
        <v>9.1664725885294493E-3</v>
      </c>
      <c r="E555" s="289">
        <f t="shared" si="17"/>
        <v>3.6801628845643559E-4</v>
      </c>
      <c r="F555" s="14"/>
      <c r="G555" s="14"/>
    </row>
    <row r="556" spans="1:7" ht="14.25" customHeight="1" x14ac:dyDescent="0.3">
      <c r="A556" s="41">
        <v>44739</v>
      </c>
      <c r="B556" s="42">
        <v>1535.80004882813</v>
      </c>
      <c r="C556" s="42">
        <v>15832.0498046875</v>
      </c>
      <c r="D556" s="289">
        <f t="shared" si="16"/>
        <v>8.4589903777250505E-3</v>
      </c>
      <c r="E556" s="289">
        <f t="shared" si="17"/>
        <v>2.7394102358759248E-2</v>
      </c>
      <c r="F556" s="14"/>
      <c r="G556" s="14"/>
    </row>
    <row r="557" spans="1:7" ht="14.25" customHeight="1" x14ac:dyDescent="0.3">
      <c r="A557" s="41">
        <v>44740</v>
      </c>
      <c r="B557" s="42">
        <v>1551.5</v>
      </c>
      <c r="C557" s="42">
        <v>15850.2001953125</v>
      </c>
      <c r="D557" s="289">
        <f t="shared" si="16"/>
        <v>1.14643339611186E-3</v>
      </c>
      <c r="E557" s="289">
        <f t="shared" si="17"/>
        <v>1.022265312717604E-2</v>
      </c>
      <c r="F557" s="14"/>
      <c r="G557" s="14"/>
    </row>
    <row r="558" spans="1:7" ht="14.25" customHeight="1" x14ac:dyDescent="0.3">
      <c r="A558" s="41">
        <v>44741</v>
      </c>
      <c r="B558" s="42">
        <v>1547.90002441406</v>
      </c>
      <c r="C558" s="42">
        <v>15799.099609375</v>
      </c>
      <c r="D558" s="289">
        <f t="shared" si="16"/>
        <v>-3.2239710103227821E-3</v>
      </c>
      <c r="E558" s="289">
        <f t="shared" si="17"/>
        <v>-2.320319423744764E-3</v>
      </c>
      <c r="F558" s="14"/>
      <c r="G558" s="14"/>
    </row>
    <row r="559" spans="1:7" ht="14.25" customHeight="1" x14ac:dyDescent="0.3">
      <c r="A559" s="41">
        <v>44742</v>
      </c>
      <c r="B559" s="42">
        <v>1558.25</v>
      </c>
      <c r="C559" s="42">
        <v>15780.25</v>
      </c>
      <c r="D559" s="289">
        <f t="shared" si="16"/>
        <v>-1.1930812414028243E-3</v>
      </c>
      <c r="E559" s="289">
        <f t="shared" si="17"/>
        <v>6.6864625768436612E-3</v>
      </c>
      <c r="F559" s="14"/>
      <c r="G559" s="14"/>
    </row>
    <row r="560" spans="1:7" ht="14.25" customHeight="1" x14ac:dyDescent="0.3">
      <c r="A560" s="41">
        <v>44743</v>
      </c>
      <c r="B560" s="42">
        <v>1572.15002441406</v>
      </c>
      <c r="C560" s="42">
        <v>15752.0498046875</v>
      </c>
      <c r="D560" s="289">
        <f t="shared" si="16"/>
        <v>-1.7870563085185596E-3</v>
      </c>
      <c r="E560" s="289">
        <f t="shared" si="17"/>
        <v>8.9202787832889444E-3</v>
      </c>
      <c r="F560" s="14"/>
      <c r="G560" s="14"/>
    </row>
    <row r="561" spans="1:7" ht="14.25" customHeight="1" x14ac:dyDescent="0.3">
      <c r="A561" s="41">
        <v>44746</v>
      </c>
      <c r="B561" s="42">
        <v>1581.69995117188</v>
      </c>
      <c r="C561" s="42">
        <v>15835.349609375</v>
      </c>
      <c r="D561" s="289">
        <f t="shared" si="16"/>
        <v>5.288188249805534E-3</v>
      </c>
      <c r="E561" s="289">
        <f t="shared" si="17"/>
        <v>6.074437305294232E-3</v>
      </c>
      <c r="F561" s="14"/>
      <c r="G561" s="14"/>
    </row>
    <row r="562" spans="1:7" ht="14.25" customHeight="1" x14ac:dyDescent="0.3">
      <c r="A562" s="41">
        <v>44747</v>
      </c>
      <c r="B562" s="42">
        <v>1564.90002441406</v>
      </c>
      <c r="C562" s="42">
        <v>15810.849609375</v>
      </c>
      <c r="D562" s="289">
        <f t="shared" si="16"/>
        <v>-1.5471713984448608E-3</v>
      </c>
      <c r="E562" s="289">
        <f t="shared" si="17"/>
        <v>-1.0621437236166665E-2</v>
      </c>
      <c r="F562" s="14"/>
      <c r="G562" s="14"/>
    </row>
    <row r="563" spans="1:7" ht="14.25" customHeight="1" x14ac:dyDescent="0.3">
      <c r="A563" s="41">
        <v>44748</v>
      </c>
      <c r="B563" s="42">
        <v>1556.15002441406</v>
      </c>
      <c r="C563" s="42">
        <v>15989.7998046875</v>
      </c>
      <c r="D563" s="289">
        <f t="shared" si="16"/>
        <v>1.1318189707300232E-2</v>
      </c>
      <c r="E563" s="289">
        <f t="shared" si="17"/>
        <v>-5.5914115045631952E-3</v>
      </c>
      <c r="F563" s="14"/>
      <c r="G563" s="14"/>
    </row>
    <row r="564" spans="1:7" ht="14.25" customHeight="1" x14ac:dyDescent="0.3">
      <c r="A564" s="41">
        <v>44749</v>
      </c>
      <c r="B564" s="42">
        <v>1611.09997558594</v>
      </c>
      <c r="C564" s="42">
        <v>16132.900390625</v>
      </c>
      <c r="D564" s="289">
        <f t="shared" si="16"/>
        <v>8.9494920315105666E-3</v>
      </c>
      <c r="E564" s="289">
        <f t="shared" si="17"/>
        <v>3.5311474028714172E-2</v>
      </c>
      <c r="F564" s="14"/>
      <c r="G564" s="14"/>
    </row>
    <row r="565" spans="1:7" ht="14.25" customHeight="1" x14ac:dyDescent="0.3">
      <c r="A565" s="41">
        <v>44750</v>
      </c>
      <c r="B565" s="42">
        <v>1687.44995117188</v>
      </c>
      <c r="C565" s="42">
        <v>16220.599609375</v>
      </c>
      <c r="D565" s="289">
        <f t="shared" si="16"/>
        <v>5.436047866567313E-3</v>
      </c>
      <c r="E565" s="289">
        <f t="shared" si="17"/>
        <v>4.7389967564348282E-2</v>
      </c>
      <c r="F565" s="14"/>
      <c r="G565" s="14"/>
    </row>
    <row r="566" spans="1:7" ht="14.25" customHeight="1" x14ac:dyDescent="0.3">
      <c r="A566" s="41">
        <v>44753</v>
      </c>
      <c r="B566" s="42">
        <v>1663</v>
      </c>
      <c r="C566" s="42">
        <v>16216</v>
      </c>
      <c r="D566" s="289">
        <f t="shared" si="16"/>
        <v>-2.8356592763325282E-4</v>
      </c>
      <c r="E566" s="289">
        <f t="shared" si="17"/>
        <v>-1.4489289685243876E-2</v>
      </c>
      <c r="F566" s="14"/>
      <c r="G566" s="14"/>
    </row>
    <row r="567" spans="1:7" ht="14.25" customHeight="1" x14ac:dyDescent="0.3">
      <c r="A567" s="41">
        <v>44754</v>
      </c>
      <c r="B567" s="42">
        <v>1653.75</v>
      </c>
      <c r="C567" s="42">
        <v>16058.2998046875</v>
      </c>
      <c r="D567" s="289">
        <f t="shared" si="16"/>
        <v>-9.7249750439380861E-3</v>
      </c>
      <c r="E567" s="289">
        <f t="shared" si="17"/>
        <v>-5.562236921226699E-3</v>
      </c>
      <c r="F567" s="14"/>
      <c r="G567" s="14"/>
    </row>
    <row r="568" spans="1:7" ht="14.25" customHeight="1" x14ac:dyDescent="0.3">
      <c r="A568" s="41">
        <v>44755</v>
      </c>
      <c r="B568" s="42">
        <v>1647.25</v>
      </c>
      <c r="C568" s="42">
        <v>15966.650390625</v>
      </c>
      <c r="D568" s="289">
        <f t="shared" si="16"/>
        <v>-5.707292501522924E-3</v>
      </c>
      <c r="E568" s="289">
        <f t="shared" si="17"/>
        <v>-3.9304610733182158E-3</v>
      </c>
      <c r="F568" s="14"/>
      <c r="G568" s="14"/>
    </row>
    <row r="569" spans="1:7" ht="14.25" customHeight="1" x14ac:dyDescent="0.3">
      <c r="A569" s="41">
        <v>44756</v>
      </c>
      <c r="B569" s="42">
        <v>1646.15002441406</v>
      </c>
      <c r="C569" s="42">
        <v>15938.650390625</v>
      </c>
      <c r="D569" s="289">
        <f t="shared" si="16"/>
        <v>-1.7536552323109999E-3</v>
      </c>
      <c r="E569" s="289">
        <f t="shared" si="17"/>
        <v>-6.6776481161936628E-4</v>
      </c>
      <c r="F569" s="14"/>
      <c r="G569" s="14"/>
    </row>
    <row r="570" spans="1:7" ht="14.25" customHeight="1" x14ac:dyDescent="0.3">
      <c r="A570" s="41">
        <v>44757</v>
      </c>
      <c r="B570" s="42">
        <v>1684.84997558594</v>
      </c>
      <c r="C570" s="42">
        <v>16049.2001953125</v>
      </c>
      <c r="D570" s="289">
        <f t="shared" si="16"/>
        <v>6.9359576863875878E-3</v>
      </c>
      <c r="E570" s="289">
        <f t="shared" si="17"/>
        <v>2.3509370712219917E-2</v>
      </c>
      <c r="F570" s="14"/>
      <c r="G570" s="14"/>
    </row>
    <row r="571" spans="1:7" ht="14.25" customHeight="1" x14ac:dyDescent="0.3">
      <c r="A571" s="41">
        <v>44760</v>
      </c>
      <c r="B571" s="42">
        <v>1727.65002441406</v>
      </c>
      <c r="C571" s="42">
        <v>16278.5</v>
      </c>
      <c r="D571" s="289">
        <f t="shared" si="16"/>
        <v>1.4287304158276481E-2</v>
      </c>
      <c r="E571" s="289">
        <f t="shared" si="17"/>
        <v>2.5402884202337026E-2</v>
      </c>
      <c r="F571" s="14"/>
      <c r="G571" s="14"/>
    </row>
    <row r="572" spans="1:7" ht="14.25" customHeight="1" x14ac:dyDescent="0.3">
      <c r="A572" s="41">
        <v>44761</v>
      </c>
      <c r="B572" s="42">
        <v>1729.80004882813</v>
      </c>
      <c r="C572" s="42">
        <v>16340.5498046875</v>
      </c>
      <c r="D572" s="289">
        <f t="shared" si="16"/>
        <v>3.8117642711244892E-3</v>
      </c>
      <c r="E572" s="289">
        <f t="shared" si="17"/>
        <v>1.2444791385333922E-3</v>
      </c>
      <c r="F572" s="14"/>
      <c r="G572" s="14"/>
    </row>
    <row r="573" spans="1:7" ht="14.25" customHeight="1" x14ac:dyDescent="0.3">
      <c r="A573" s="41">
        <v>44762</v>
      </c>
      <c r="B573" s="42">
        <v>1739.94995117188</v>
      </c>
      <c r="C573" s="42">
        <v>16520.849609375</v>
      </c>
      <c r="D573" s="289">
        <f t="shared" si="16"/>
        <v>1.1033888506969248E-2</v>
      </c>
      <c r="E573" s="289">
        <f t="shared" si="17"/>
        <v>5.8676737525970996E-3</v>
      </c>
      <c r="F573" s="14"/>
      <c r="G573" s="14"/>
    </row>
    <row r="574" spans="1:7" ht="14.25" customHeight="1" x14ac:dyDescent="0.3">
      <c r="A574" s="41">
        <v>44763</v>
      </c>
      <c r="B574" s="42">
        <v>1765.15002441406</v>
      </c>
      <c r="C574" s="42">
        <v>16605.25</v>
      </c>
      <c r="D574" s="289">
        <f t="shared" si="16"/>
        <v>5.1087197462959628E-3</v>
      </c>
      <c r="E574" s="289">
        <f t="shared" si="17"/>
        <v>1.4483217304731899E-2</v>
      </c>
      <c r="F574" s="14"/>
      <c r="G574" s="14"/>
    </row>
    <row r="575" spans="1:7" ht="14.25" customHeight="1" x14ac:dyDescent="0.3">
      <c r="A575" s="41">
        <v>44764</v>
      </c>
      <c r="B575" s="42">
        <v>1767.75</v>
      </c>
      <c r="C575" s="42">
        <v>16719.44921875</v>
      </c>
      <c r="D575" s="289">
        <f t="shared" si="16"/>
        <v>6.8772959606148657E-3</v>
      </c>
      <c r="E575" s="289">
        <f t="shared" si="17"/>
        <v>1.4729487862104303E-3</v>
      </c>
      <c r="F575" s="14"/>
      <c r="G575" s="14"/>
    </row>
    <row r="576" spans="1:7" ht="14.25" customHeight="1" x14ac:dyDescent="0.3">
      <c r="A576" s="41">
        <v>44767</v>
      </c>
      <c r="B576" s="42">
        <v>1782.44995117188</v>
      </c>
      <c r="C576" s="42">
        <v>16631</v>
      </c>
      <c r="D576" s="289">
        <f t="shared" si="16"/>
        <v>-5.2901993117577557E-3</v>
      </c>
      <c r="E576" s="289">
        <f t="shared" si="17"/>
        <v>8.3156278726516774E-3</v>
      </c>
      <c r="F576" s="14"/>
      <c r="G576" s="14"/>
    </row>
    <row r="577" spans="1:7" ht="14.25" customHeight="1" x14ac:dyDescent="0.3">
      <c r="A577" s="41">
        <v>44768</v>
      </c>
      <c r="B577" s="42">
        <v>1751.25</v>
      </c>
      <c r="C577" s="42">
        <v>16483.849609375</v>
      </c>
      <c r="D577" s="289">
        <f t="shared" si="16"/>
        <v>-8.8479580677650171E-3</v>
      </c>
      <c r="E577" s="289">
        <f t="shared" si="17"/>
        <v>-1.7503970392754899E-2</v>
      </c>
      <c r="F577" s="14"/>
      <c r="G577" s="14"/>
    </row>
    <row r="578" spans="1:7" ht="14.25" customHeight="1" x14ac:dyDescent="0.3">
      <c r="A578" s="41">
        <v>44769</v>
      </c>
      <c r="B578" s="42">
        <v>1796.65002441406</v>
      </c>
      <c r="C578" s="42">
        <v>16641.80078125</v>
      </c>
      <c r="D578" s="289">
        <f t="shared" si="16"/>
        <v>9.5821774414374099E-3</v>
      </c>
      <c r="E578" s="289">
        <f t="shared" si="17"/>
        <v>2.592435369824982E-2</v>
      </c>
      <c r="F578" s="14"/>
      <c r="G578" s="14"/>
    </row>
    <row r="579" spans="1:7" ht="14.25" customHeight="1" x14ac:dyDescent="0.3">
      <c r="A579" s="41">
        <v>44770</v>
      </c>
      <c r="B579" s="42">
        <v>1801.25</v>
      </c>
      <c r="C579" s="42">
        <v>16929.599609375</v>
      </c>
      <c r="D579" s="289">
        <f t="shared" ref="D579:D642" si="18">(C579-C578)/C578</f>
        <v>1.7293731123692903E-2</v>
      </c>
      <c r="E579" s="289">
        <f t="shared" ref="E579:E642" si="19">(B579-B578)/B578</f>
        <v>2.5603069732182187E-3</v>
      </c>
      <c r="F579" s="14"/>
      <c r="G579" s="14"/>
    </row>
    <row r="580" spans="1:7" ht="14.25" customHeight="1" x14ac:dyDescent="0.3">
      <c r="A580" s="41">
        <v>44771</v>
      </c>
      <c r="B580" s="42">
        <v>1808.05004882813</v>
      </c>
      <c r="C580" s="42">
        <v>17158.25</v>
      </c>
      <c r="D580" s="289">
        <f t="shared" si="18"/>
        <v>1.3505953826479256E-2</v>
      </c>
      <c r="E580" s="289">
        <f t="shared" si="19"/>
        <v>3.7751832494823051E-3</v>
      </c>
      <c r="F580" s="14"/>
      <c r="G580" s="14"/>
    </row>
    <row r="581" spans="1:7" ht="14.25" customHeight="1" x14ac:dyDescent="0.3">
      <c r="A581" s="41">
        <v>44774</v>
      </c>
      <c r="B581" s="42">
        <v>1814.69995117188</v>
      </c>
      <c r="C581" s="42">
        <v>17340.05078125</v>
      </c>
      <c r="D581" s="289">
        <f t="shared" si="18"/>
        <v>1.059553166843938E-2</v>
      </c>
      <c r="E581" s="289">
        <f t="shared" si="19"/>
        <v>3.6779415194065392E-3</v>
      </c>
      <c r="F581" s="14"/>
      <c r="G581" s="14"/>
    </row>
    <row r="582" spans="1:7" ht="14.25" customHeight="1" x14ac:dyDescent="0.3">
      <c r="A582" s="41">
        <v>44775</v>
      </c>
      <c r="B582" s="42">
        <v>1793.05004882813</v>
      </c>
      <c r="C582" s="42">
        <v>17345.44921875</v>
      </c>
      <c r="D582" s="289">
        <f t="shared" si="18"/>
        <v>3.1132766380577117E-4</v>
      </c>
      <c r="E582" s="289">
        <f t="shared" si="19"/>
        <v>-1.1930293120782379E-2</v>
      </c>
      <c r="F582" s="14"/>
      <c r="G582" s="14"/>
    </row>
    <row r="583" spans="1:7" ht="14.25" customHeight="1" x14ac:dyDescent="0.3">
      <c r="A583" s="41">
        <v>44776</v>
      </c>
      <c r="B583" s="42">
        <v>1789.80004882813</v>
      </c>
      <c r="C583" s="42">
        <v>17388.150390625</v>
      </c>
      <c r="D583" s="289">
        <f t="shared" si="18"/>
        <v>2.4618083588657416E-3</v>
      </c>
      <c r="E583" s="289">
        <f t="shared" si="19"/>
        <v>-1.8125539786934992E-3</v>
      </c>
      <c r="F583" s="14"/>
      <c r="G583" s="14"/>
    </row>
    <row r="584" spans="1:7" ht="14.25" customHeight="1" x14ac:dyDescent="0.3">
      <c r="A584" s="41">
        <v>44777</v>
      </c>
      <c r="B584" s="42">
        <v>1780.09997558594</v>
      </c>
      <c r="C584" s="42">
        <v>17382</v>
      </c>
      <c r="D584" s="289">
        <f t="shared" si="18"/>
        <v>-3.537116074356043E-4</v>
      </c>
      <c r="E584" s="289">
        <f t="shared" si="19"/>
        <v>-5.4196407294441161E-3</v>
      </c>
      <c r="F584" s="14"/>
      <c r="G584" s="14"/>
    </row>
    <row r="585" spans="1:7" ht="14.25" customHeight="1" x14ac:dyDescent="0.3">
      <c r="A585" s="41">
        <v>44778</v>
      </c>
      <c r="B585" s="42">
        <v>1787.44995117188</v>
      </c>
      <c r="C585" s="42">
        <v>17397.5</v>
      </c>
      <c r="D585" s="289">
        <f t="shared" si="18"/>
        <v>8.9172707398458174E-4</v>
      </c>
      <c r="E585" s="289">
        <f t="shared" si="19"/>
        <v>4.1289678595274821E-3</v>
      </c>
      <c r="F585" s="14"/>
      <c r="G585" s="14"/>
    </row>
    <row r="586" spans="1:7" ht="14.25" customHeight="1" x14ac:dyDescent="0.3">
      <c r="A586" s="41">
        <v>44781</v>
      </c>
      <c r="B586" s="42">
        <v>1829.65002441406</v>
      </c>
      <c r="C586" s="42">
        <v>17525.099609375</v>
      </c>
      <c r="D586" s="289">
        <f t="shared" si="18"/>
        <v>7.3343646716482252E-3</v>
      </c>
      <c r="E586" s="289">
        <f t="shared" si="19"/>
        <v>2.3609093622181127E-2</v>
      </c>
      <c r="F586" s="14"/>
      <c r="G586" s="14"/>
    </row>
    <row r="587" spans="1:7" ht="14.25" customHeight="1" x14ac:dyDescent="0.3">
      <c r="A587" s="41">
        <v>44783</v>
      </c>
      <c r="B587" s="42">
        <v>1855.15002441406</v>
      </c>
      <c r="C587" s="42">
        <v>17534.75</v>
      </c>
      <c r="D587" s="289">
        <f t="shared" si="18"/>
        <v>5.5066109979982946E-4</v>
      </c>
      <c r="E587" s="289">
        <f t="shared" si="19"/>
        <v>1.3937091607541885E-2</v>
      </c>
      <c r="F587" s="14"/>
      <c r="G587" s="14"/>
    </row>
    <row r="588" spans="1:7" ht="14.25" customHeight="1" x14ac:dyDescent="0.3">
      <c r="A588" s="41">
        <v>44784</v>
      </c>
      <c r="B588" s="42">
        <v>1867.15002441406</v>
      </c>
      <c r="C588" s="42">
        <v>17659</v>
      </c>
      <c r="D588" s="289">
        <f t="shared" si="18"/>
        <v>7.0859293688247619E-3</v>
      </c>
      <c r="E588" s="289">
        <f t="shared" si="19"/>
        <v>6.468479552638952E-3</v>
      </c>
      <c r="F588" s="14"/>
      <c r="G588" s="14"/>
    </row>
    <row r="589" spans="1:7" ht="14.25" customHeight="1" x14ac:dyDescent="0.3">
      <c r="A589" s="41">
        <v>44785</v>
      </c>
      <c r="B589" s="42">
        <v>1846.44995117188</v>
      </c>
      <c r="C589" s="42">
        <v>17698.150390625</v>
      </c>
      <c r="D589" s="289">
        <f t="shared" si="18"/>
        <v>2.2170219505634522E-3</v>
      </c>
      <c r="E589" s="289">
        <f t="shared" si="19"/>
        <v>-1.108645420641868E-2</v>
      </c>
      <c r="F589" s="14"/>
      <c r="G589" s="14"/>
    </row>
    <row r="590" spans="1:7" ht="14.25" customHeight="1" x14ac:dyDescent="0.3">
      <c r="A590" s="41">
        <v>44789</v>
      </c>
      <c r="B590" s="42">
        <v>1848.90002441406</v>
      </c>
      <c r="C590" s="42">
        <v>17825.25</v>
      </c>
      <c r="D590" s="289">
        <f t="shared" si="18"/>
        <v>7.18151934353133E-3</v>
      </c>
      <c r="E590" s="289">
        <f t="shared" si="19"/>
        <v>1.3269101827672162E-3</v>
      </c>
      <c r="F590" s="14"/>
      <c r="G590" s="14"/>
    </row>
    <row r="591" spans="1:7" ht="14.25" customHeight="1" x14ac:dyDescent="0.3">
      <c r="A591" s="41">
        <v>44790</v>
      </c>
      <c r="B591" s="42">
        <v>1855.69995117188</v>
      </c>
      <c r="C591" s="42">
        <v>17944.25</v>
      </c>
      <c r="D591" s="289">
        <f t="shared" si="18"/>
        <v>6.675923198833116E-3</v>
      </c>
      <c r="E591" s="289">
        <f t="shared" si="19"/>
        <v>3.6778228503593574E-3</v>
      </c>
      <c r="F591" s="14"/>
      <c r="G591" s="14"/>
    </row>
    <row r="592" spans="1:7" ht="14.25" customHeight="1" x14ac:dyDescent="0.3">
      <c r="A592" s="41">
        <v>44791</v>
      </c>
      <c r="B592" s="42">
        <v>1894.55004882813</v>
      </c>
      <c r="C592" s="42">
        <v>17956.5</v>
      </c>
      <c r="D592" s="289">
        <f t="shared" si="18"/>
        <v>6.8266993605193866E-4</v>
      </c>
      <c r="E592" s="289">
        <f t="shared" si="19"/>
        <v>2.0935549215117481E-2</v>
      </c>
      <c r="F592" s="14"/>
      <c r="G592" s="14"/>
    </row>
    <row r="593" spans="1:7" ht="14.25" customHeight="1" x14ac:dyDescent="0.3">
      <c r="A593" s="41">
        <v>44792</v>
      </c>
      <c r="B593" s="42">
        <v>1936.05004882813</v>
      </c>
      <c r="C593" s="42">
        <v>17758.44921875</v>
      </c>
      <c r="D593" s="289">
        <f t="shared" si="18"/>
        <v>-1.1029475746944004E-2</v>
      </c>
      <c r="E593" s="289">
        <f t="shared" si="19"/>
        <v>2.1904937283483084E-2</v>
      </c>
      <c r="F593" s="14"/>
      <c r="G593" s="14"/>
    </row>
    <row r="594" spans="1:7" ht="14.25" customHeight="1" x14ac:dyDescent="0.3">
      <c r="A594" s="41">
        <v>44795</v>
      </c>
      <c r="B594" s="42">
        <v>1880.65002441406</v>
      </c>
      <c r="C594" s="42">
        <v>17490.69921875</v>
      </c>
      <c r="D594" s="289">
        <f t="shared" si="18"/>
        <v>-1.5077330047338822E-2</v>
      </c>
      <c r="E594" s="289">
        <f t="shared" si="19"/>
        <v>-2.8614975345086266E-2</v>
      </c>
      <c r="F594" s="14"/>
      <c r="G594" s="14"/>
    </row>
    <row r="595" spans="1:7" ht="14.25" customHeight="1" x14ac:dyDescent="0.3">
      <c r="A595" s="41">
        <v>44796</v>
      </c>
      <c r="B595" s="42">
        <v>1877.05004882813</v>
      </c>
      <c r="C595" s="42">
        <v>17577.5</v>
      </c>
      <c r="D595" s="289">
        <f t="shared" si="18"/>
        <v>4.9626821755044369E-3</v>
      </c>
      <c r="E595" s="289">
        <f t="shared" si="19"/>
        <v>-1.9142187749959559E-3</v>
      </c>
      <c r="F595" s="14"/>
      <c r="G595" s="14"/>
    </row>
    <row r="596" spans="1:7" ht="14.25" customHeight="1" x14ac:dyDescent="0.3">
      <c r="A596" s="41">
        <v>44797</v>
      </c>
      <c r="B596" s="42">
        <v>1893.34997558594</v>
      </c>
      <c r="C596" s="42">
        <v>17604.94921875</v>
      </c>
      <c r="D596" s="289">
        <f t="shared" si="18"/>
        <v>1.5616110795050491E-3</v>
      </c>
      <c r="E596" s="289">
        <f t="shared" si="19"/>
        <v>8.6837997569570845E-3</v>
      </c>
      <c r="F596" s="14"/>
      <c r="G596" s="14"/>
    </row>
    <row r="597" spans="1:7" ht="14.25" customHeight="1" x14ac:dyDescent="0.3">
      <c r="A597" s="41">
        <v>44798</v>
      </c>
      <c r="B597" s="42">
        <v>1877.90002441406</v>
      </c>
      <c r="C597" s="42">
        <v>17522.44921875</v>
      </c>
      <c r="D597" s="289">
        <f t="shared" si="18"/>
        <v>-4.686182219266732E-3</v>
      </c>
      <c r="E597" s="289">
        <f t="shared" si="19"/>
        <v>-8.1601137513410138E-3</v>
      </c>
      <c r="F597" s="14"/>
      <c r="G597" s="14"/>
    </row>
    <row r="598" spans="1:7" ht="14.25" customHeight="1" x14ac:dyDescent="0.3">
      <c r="A598" s="41">
        <v>44799</v>
      </c>
      <c r="B598" s="42">
        <v>1905.40002441406</v>
      </c>
      <c r="C598" s="42">
        <v>17558.900390625</v>
      </c>
      <c r="D598" s="289">
        <f t="shared" si="18"/>
        <v>2.0802555293466174E-3</v>
      </c>
      <c r="E598" s="289">
        <f t="shared" si="19"/>
        <v>1.4644017062932045E-2</v>
      </c>
      <c r="F598" s="14"/>
      <c r="G598" s="14"/>
    </row>
    <row r="599" spans="1:7" ht="14.25" customHeight="1" x14ac:dyDescent="0.3">
      <c r="A599" s="41">
        <v>44802</v>
      </c>
      <c r="B599" s="42">
        <v>1881.5</v>
      </c>
      <c r="C599" s="42">
        <v>17312.900390625</v>
      </c>
      <c r="D599" s="289">
        <f t="shared" si="18"/>
        <v>-1.400998892455382E-2</v>
      </c>
      <c r="E599" s="289">
        <f t="shared" si="19"/>
        <v>-1.2543310647542175E-2</v>
      </c>
      <c r="F599" s="14"/>
      <c r="G599" s="14"/>
    </row>
    <row r="600" spans="1:7" ht="14.25" customHeight="1" x14ac:dyDescent="0.3">
      <c r="A600" s="41">
        <v>44803</v>
      </c>
      <c r="B600" s="42">
        <v>1922.5</v>
      </c>
      <c r="C600" s="42">
        <v>17759.30078125</v>
      </c>
      <c r="D600" s="289">
        <f t="shared" si="18"/>
        <v>2.5784263789025638E-2</v>
      </c>
      <c r="E600" s="289">
        <f t="shared" si="19"/>
        <v>2.1791124103109221E-2</v>
      </c>
      <c r="F600" s="14"/>
      <c r="G600" s="14"/>
    </row>
    <row r="601" spans="1:7" ht="14.25" customHeight="1" x14ac:dyDescent="0.3">
      <c r="A601" s="41">
        <v>44805</v>
      </c>
      <c r="B601" s="42">
        <v>1912.94995117188</v>
      </c>
      <c r="C601" s="42">
        <v>17542.80078125</v>
      </c>
      <c r="D601" s="289">
        <f t="shared" si="18"/>
        <v>-1.2190795272107639E-2</v>
      </c>
      <c r="E601" s="289">
        <f t="shared" si="19"/>
        <v>-4.9675156453159938E-3</v>
      </c>
      <c r="F601" s="14"/>
      <c r="G601" s="14"/>
    </row>
    <row r="602" spans="1:7" ht="14.25" customHeight="1" x14ac:dyDescent="0.3">
      <c r="A602" s="41">
        <v>44806</v>
      </c>
      <c r="B602" s="42">
        <v>1940.5</v>
      </c>
      <c r="C602" s="42">
        <v>17539.44921875</v>
      </c>
      <c r="D602" s="289">
        <f t="shared" si="18"/>
        <v>-1.9105059344812252E-4</v>
      </c>
      <c r="E602" s="289">
        <f t="shared" si="19"/>
        <v>1.4401865982558895E-2</v>
      </c>
      <c r="F602" s="14"/>
      <c r="G602" s="14"/>
    </row>
    <row r="603" spans="1:7" ht="14.25" customHeight="1" x14ac:dyDescent="0.3">
      <c r="A603" s="41">
        <v>44809</v>
      </c>
      <c r="B603" s="42">
        <v>1968.34997558594</v>
      </c>
      <c r="C603" s="42">
        <v>17665.80078125</v>
      </c>
      <c r="D603" s="289">
        <f t="shared" si="18"/>
        <v>7.2038500710117975E-3</v>
      </c>
      <c r="E603" s="289">
        <f t="shared" si="19"/>
        <v>1.4351958560133986E-2</v>
      </c>
      <c r="F603" s="14"/>
      <c r="G603" s="14"/>
    </row>
    <row r="604" spans="1:7" ht="14.25" customHeight="1" x14ac:dyDescent="0.3">
      <c r="A604" s="41">
        <v>44810</v>
      </c>
      <c r="B604" s="42">
        <v>1962.30004882813</v>
      </c>
      <c r="C604" s="42">
        <v>17655.599609375</v>
      </c>
      <c r="D604" s="289">
        <f t="shared" si="18"/>
        <v>-5.7745312546642362E-4</v>
      </c>
      <c r="E604" s="289">
        <f t="shared" si="19"/>
        <v>-3.0736031868565709E-3</v>
      </c>
      <c r="F604" s="14"/>
      <c r="G604" s="14"/>
    </row>
    <row r="605" spans="1:7" ht="14.25" customHeight="1" x14ac:dyDescent="0.3">
      <c r="A605" s="41">
        <v>44811</v>
      </c>
      <c r="B605" s="42">
        <v>1958.09997558594</v>
      </c>
      <c r="C605" s="42">
        <v>17624.400390625</v>
      </c>
      <c r="D605" s="289">
        <f t="shared" si="18"/>
        <v>-1.7671004916442166E-3</v>
      </c>
      <c r="E605" s="289">
        <f t="shared" si="19"/>
        <v>-2.1403827843240646E-3</v>
      </c>
      <c r="F605" s="14"/>
      <c r="G605" s="14"/>
    </row>
    <row r="606" spans="1:7" ht="14.25" customHeight="1" x14ac:dyDescent="0.3">
      <c r="A606" s="41">
        <v>44812</v>
      </c>
      <c r="B606" s="42">
        <v>1974.40002441406</v>
      </c>
      <c r="C606" s="42">
        <v>17798.75</v>
      </c>
      <c r="D606" s="289">
        <f t="shared" si="18"/>
        <v>9.8925129655895866E-3</v>
      </c>
      <c r="E606" s="289">
        <f t="shared" si="19"/>
        <v>8.3244211385286315E-3</v>
      </c>
      <c r="F606" s="14"/>
      <c r="G606" s="14"/>
    </row>
    <row r="607" spans="1:7" ht="14.25" customHeight="1" x14ac:dyDescent="0.3">
      <c r="A607" s="41">
        <v>44813</v>
      </c>
      <c r="B607" s="42">
        <v>1949.75</v>
      </c>
      <c r="C607" s="42">
        <v>17833.349609375</v>
      </c>
      <c r="D607" s="289">
        <f t="shared" si="18"/>
        <v>1.943934791769085E-3</v>
      </c>
      <c r="E607" s="289">
        <f t="shared" si="19"/>
        <v>-1.248481772146217E-2</v>
      </c>
      <c r="F607" s="14"/>
      <c r="G607" s="14"/>
    </row>
    <row r="608" spans="1:7" ht="14.25" customHeight="1" x14ac:dyDescent="0.3">
      <c r="A608" s="41">
        <v>44816</v>
      </c>
      <c r="B608" s="42">
        <v>1961.90002441406</v>
      </c>
      <c r="C608" s="42">
        <v>17936.349609375</v>
      </c>
      <c r="D608" s="289">
        <f t="shared" si="18"/>
        <v>5.77569566324505E-3</v>
      </c>
      <c r="E608" s="289">
        <f t="shared" si="19"/>
        <v>6.231580671398897E-3</v>
      </c>
      <c r="F608" s="14"/>
      <c r="G608" s="14"/>
    </row>
    <row r="609" spans="1:7" ht="14.25" customHeight="1" x14ac:dyDescent="0.3">
      <c r="A609" s="41">
        <v>44817</v>
      </c>
      <c r="B609" s="42">
        <v>1991.34997558594</v>
      </c>
      <c r="C609" s="42">
        <v>18070.05078125</v>
      </c>
      <c r="D609" s="289">
        <f t="shared" si="18"/>
        <v>7.4542019299800475E-3</v>
      </c>
      <c r="E609" s="289">
        <f t="shared" si="19"/>
        <v>1.5010933689485787E-2</v>
      </c>
      <c r="F609" s="14"/>
      <c r="G609" s="14"/>
    </row>
    <row r="610" spans="1:7" ht="14.25" customHeight="1" x14ac:dyDescent="0.3">
      <c r="A610" s="41">
        <v>44818</v>
      </c>
      <c r="B610" s="42">
        <v>1953.90002441406</v>
      </c>
      <c r="C610" s="42">
        <v>18003.75</v>
      </c>
      <c r="D610" s="289">
        <f t="shared" si="18"/>
        <v>-3.6690976717561625E-3</v>
      </c>
      <c r="E610" s="289">
        <f t="shared" si="19"/>
        <v>-1.8806313119752158E-2</v>
      </c>
      <c r="F610" s="14"/>
      <c r="G610" s="14"/>
    </row>
    <row r="611" spans="1:7" ht="14.25" customHeight="1" x14ac:dyDescent="0.3">
      <c r="A611" s="41">
        <v>44819</v>
      </c>
      <c r="B611" s="42">
        <v>1957.5</v>
      </c>
      <c r="C611" s="42">
        <v>17877.400390625</v>
      </c>
      <c r="D611" s="289">
        <f t="shared" si="18"/>
        <v>-7.0179606679164064E-3</v>
      </c>
      <c r="E611" s="289">
        <f t="shared" si="19"/>
        <v>1.8424563902749169E-3</v>
      </c>
      <c r="F611" s="14"/>
      <c r="G611" s="14"/>
    </row>
    <row r="612" spans="1:7" ht="14.25" customHeight="1" x14ac:dyDescent="0.3">
      <c r="A612" s="41">
        <v>44820</v>
      </c>
      <c r="B612" s="42">
        <v>1920</v>
      </c>
      <c r="C612" s="42">
        <v>17530.849609375</v>
      </c>
      <c r="D612" s="289">
        <f t="shared" si="18"/>
        <v>-1.9384853148544628E-2</v>
      </c>
      <c r="E612" s="289">
        <f t="shared" si="19"/>
        <v>-1.9157088122605363E-2</v>
      </c>
      <c r="F612" s="14"/>
      <c r="G612" s="14"/>
    </row>
    <row r="613" spans="1:7" ht="14.25" customHeight="1" x14ac:dyDescent="0.3">
      <c r="A613" s="41">
        <v>44823</v>
      </c>
      <c r="B613" s="42">
        <v>1910.69995117188</v>
      </c>
      <c r="C613" s="42">
        <v>17622.25</v>
      </c>
      <c r="D613" s="289">
        <f t="shared" si="18"/>
        <v>5.2136885924867933E-3</v>
      </c>
      <c r="E613" s="289">
        <f t="shared" si="19"/>
        <v>-4.8437754313124986E-3</v>
      </c>
      <c r="F613" s="14"/>
      <c r="G613" s="14"/>
    </row>
    <row r="614" spans="1:7" ht="14.25" customHeight="1" x14ac:dyDescent="0.3">
      <c r="A614" s="41">
        <v>44824</v>
      </c>
      <c r="B614" s="42">
        <v>1932.69995117188</v>
      </c>
      <c r="C614" s="42">
        <v>17816.25</v>
      </c>
      <c r="D614" s="289">
        <f t="shared" si="18"/>
        <v>1.1008809885230319E-2</v>
      </c>
      <c r="E614" s="289">
        <f t="shared" si="19"/>
        <v>1.1514105072597532E-2</v>
      </c>
      <c r="F614" s="14"/>
      <c r="G614" s="14"/>
    </row>
    <row r="615" spans="1:7" ht="14.25" customHeight="1" x14ac:dyDescent="0.3">
      <c r="A615" s="41">
        <v>44825</v>
      </c>
      <c r="B615" s="42">
        <v>1895.65002441406</v>
      </c>
      <c r="C615" s="42">
        <v>17718.349609375</v>
      </c>
      <c r="D615" s="289">
        <f t="shared" si="18"/>
        <v>-5.4950054374517648E-3</v>
      </c>
      <c r="E615" s="289">
        <f t="shared" si="19"/>
        <v>-1.9170035542948622E-2</v>
      </c>
      <c r="F615" s="14"/>
      <c r="G615" s="14"/>
    </row>
    <row r="616" spans="1:7" ht="14.25" customHeight="1" x14ac:dyDescent="0.3">
      <c r="A616" s="41">
        <v>44826</v>
      </c>
      <c r="B616" s="42">
        <v>1888.19995117188</v>
      </c>
      <c r="C616" s="42">
        <v>17629.80078125</v>
      </c>
      <c r="D616" s="289">
        <f t="shared" si="18"/>
        <v>-4.9975776569025207E-3</v>
      </c>
      <c r="E616" s="289">
        <f t="shared" si="19"/>
        <v>-3.9300889648566815E-3</v>
      </c>
      <c r="F616" s="14"/>
      <c r="G616" s="14"/>
    </row>
    <row r="617" spans="1:7" ht="14.25" customHeight="1" x14ac:dyDescent="0.3">
      <c r="A617" s="41">
        <v>44827</v>
      </c>
      <c r="B617" s="42">
        <v>1856.84997558594</v>
      </c>
      <c r="C617" s="42">
        <v>17327.349609375</v>
      </c>
      <c r="D617" s="289">
        <f t="shared" si="18"/>
        <v>-1.7155677232420515E-2</v>
      </c>
      <c r="E617" s="289">
        <f t="shared" si="19"/>
        <v>-1.660310157644224E-2</v>
      </c>
      <c r="F617" s="14"/>
      <c r="G617" s="14"/>
    </row>
    <row r="618" spans="1:7" ht="14.25" customHeight="1" x14ac:dyDescent="0.3">
      <c r="A618" s="41">
        <v>44830</v>
      </c>
      <c r="B618" s="42">
        <v>1851.44995117188</v>
      </c>
      <c r="C618" s="42">
        <v>17016.30078125</v>
      </c>
      <c r="D618" s="289">
        <f t="shared" si="18"/>
        <v>-1.7951321762256493E-2</v>
      </c>
      <c r="E618" s="289">
        <f t="shared" si="19"/>
        <v>-2.9081640870614704E-3</v>
      </c>
      <c r="F618" s="14"/>
      <c r="G618" s="14"/>
    </row>
    <row r="619" spans="1:7" ht="14.25" customHeight="1" x14ac:dyDescent="0.3">
      <c r="A619" s="41">
        <v>44831</v>
      </c>
      <c r="B619" s="42">
        <v>1841.19995117188</v>
      </c>
      <c r="C619" s="42">
        <v>17007.400390625</v>
      </c>
      <c r="D619" s="289">
        <f t="shared" si="18"/>
        <v>-5.2305085220444639E-4</v>
      </c>
      <c r="E619" s="289">
        <f t="shared" si="19"/>
        <v>-5.536201501699917E-3</v>
      </c>
      <c r="F619" s="14"/>
      <c r="G619" s="14"/>
    </row>
    <row r="620" spans="1:7" ht="14.25" customHeight="1" x14ac:dyDescent="0.3">
      <c r="A620" s="41">
        <v>44832</v>
      </c>
      <c r="B620" s="42">
        <v>1835.44995117188</v>
      </c>
      <c r="C620" s="42">
        <v>16858.599609375</v>
      </c>
      <c r="D620" s="289">
        <f t="shared" si="18"/>
        <v>-8.7491784653946029E-3</v>
      </c>
      <c r="E620" s="289">
        <f t="shared" si="19"/>
        <v>-3.122963367634385E-3</v>
      </c>
      <c r="F620" s="14"/>
      <c r="G620" s="14"/>
    </row>
    <row r="621" spans="1:7" ht="14.25" customHeight="1" x14ac:dyDescent="0.3">
      <c r="A621" s="41">
        <v>44833</v>
      </c>
      <c r="B621" s="42">
        <v>1815.5</v>
      </c>
      <c r="C621" s="42">
        <v>16818.099609375</v>
      </c>
      <c r="D621" s="289">
        <f t="shared" si="18"/>
        <v>-2.4023347691037229E-3</v>
      </c>
      <c r="E621" s="289">
        <f t="shared" si="19"/>
        <v>-1.0869242802911926E-2</v>
      </c>
      <c r="F621" s="14"/>
      <c r="G621" s="14"/>
    </row>
    <row r="622" spans="1:7" ht="14.25" customHeight="1" x14ac:dyDescent="0.3">
      <c r="A622" s="41">
        <v>44834</v>
      </c>
      <c r="B622" s="42">
        <v>1847.69995117188</v>
      </c>
      <c r="C622" s="42">
        <v>17094.349609375</v>
      </c>
      <c r="D622" s="289">
        <f t="shared" si="18"/>
        <v>1.6425755966269134E-2</v>
      </c>
      <c r="E622" s="289">
        <f t="shared" si="19"/>
        <v>1.7736133942098598E-2</v>
      </c>
      <c r="F622" s="14"/>
      <c r="G622" s="14"/>
    </row>
    <row r="623" spans="1:7" ht="14.25" customHeight="1" x14ac:dyDescent="0.3">
      <c r="A623" s="41">
        <v>44837</v>
      </c>
      <c r="B623" s="42">
        <v>1819.30004882813</v>
      </c>
      <c r="C623" s="42">
        <v>16887.349609375</v>
      </c>
      <c r="D623" s="289">
        <f t="shared" si="18"/>
        <v>-1.2109264448790473E-2</v>
      </c>
      <c r="E623" s="289">
        <f t="shared" si="19"/>
        <v>-1.5370408125917698E-2</v>
      </c>
      <c r="F623" s="14"/>
      <c r="G623" s="14"/>
    </row>
    <row r="624" spans="1:7" ht="14.25" customHeight="1" x14ac:dyDescent="0.3">
      <c r="A624" s="41">
        <v>44838</v>
      </c>
      <c r="B624" s="42">
        <v>1871.55004882813</v>
      </c>
      <c r="C624" s="42">
        <v>17274.30078125</v>
      </c>
      <c r="D624" s="289">
        <f t="shared" si="18"/>
        <v>2.2913670932719031E-2</v>
      </c>
      <c r="E624" s="289">
        <f t="shared" si="19"/>
        <v>2.8719836529249761E-2</v>
      </c>
      <c r="F624" s="14"/>
      <c r="G624" s="14"/>
    </row>
    <row r="625" spans="1:7" ht="14.25" customHeight="1" x14ac:dyDescent="0.3">
      <c r="A625" s="41">
        <v>44840</v>
      </c>
      <c r="B625" s="42">
        <v>1912.94995117188</v>
      </c>
      <c r="C625" s="42">
        <v>17331.80078125</v>
      </c>
      <c r="D625" s="289">
        <f t="shared" si="18"/>
        <v>3.3286441360574244E-3</v>
      </c>
      <c r="E625" s="289">
        <f t="shared" si="19"/>
        <v>2.2120649335385139E-2</v>
      </c>
      <c r="F625" s="14"/>
      <c r="G625" s="14"/>
    </row>
    <row r="626" spans="1:7" ht="14.25" customHeight="1" x14ac:dyDescent="0.3">
      <c r="A626" s="41">
        <v>44841</v>
      </c>
      <c r="B626" s="42">
        <v>1924.55004882813</v>
      </c>
      <c r="C626" s="42">
        <v>17314.650390625</v>
      </c>
      <c r="D626" s="289">
        <f t="shared" si="18"/>
        <v>-9.8953310400115763E-4</v>
      </c>
      <c r="E626" s="289">
        <f t="shared" si="19"/>
        <v>6.063983874300391E-3</v>
      </c>
      <c r="F626" s="14"/>
      <c r="G626" s="14"/>
    </row>
    <row r="627" spans="1:7" ht="14.25" customHeight="1" x14ac:dyDescent="0.3">
      <c r="A627" s="41">
        <v>44844</v>
      </c>
      <c r="B627" s="42">
        <v>1909.65002441406</v>
      </c>
      <c r="C627" s="42">
        <v>17241</v>
      </c>
      <c r="D627" s="289">
        <f t="shared" si="18"/>
        <v>-4.253645841147213E-3</v>
      </c>
      <c r="E627" s="289">
        <f t="shared" si="19"/>
        <v>-7.7420820638791476E-3</v>
      </c>
      <c r="F627" s="14"/>
      <c r="G627" s="14"/>
    </row>
    <row r="628" spans="1:7" ht="14.25" customHeight="1" x14ac:dyDescent="0.3">
      <c r="A628" s="41">
        <v>44845</v>
      </c>
      <c r="B628" s="42">
        <v>1878.94995117188</v>
      </c>
      <c r="C628" s="42">
        <v>16983.55078125</v>
      </c>
      <c r="D628" s="289">
        <f t="shared" si="18"/>
        <v>-1.4932383199930399E-2</v>
      </c>
      <c r="E628" s="289">
        <f t="shared" si="19"/>
        <v>-1.6076282486158548E-2</v>
      </c>
      <c r="F628" s="14"/>
      <c r="G628" s="14"/>
    </row>
    <row r="629" spans="1:7" ht="14.25" customHeight="1" x14ac:dyDescent="0.3">
      <c r="A629" s="41">
        <v>44846</v>
      </c>
      <c r="B629" s="42">
        <v>1911.25</v>
      </c>
      <c r="C629" s="42">
        <v>17123.599609375</v>
      </c>
      <c r="D629" s="289">
        <f t="shared" si="18"/>
        <v>8.2461453396197471E-3</v>
      </c>
      <c r="E629" s="289">
        <f t="shared" si="19"/>
        <v>1.7190478547858511E-2</v>
      </c>
      <c r="F629" s="14"/>
      <c r="G629" s="14"/>
    </row>
    <row r="630" spans="1:7" ht="14.25" customHeight="1" x14ac:dyDescent="0.3">
      <c r="A630" s="41">
        <v>44847</v>
      </c>
      <c r="B630" s="42">
        <v>1876.15002441406</v>
      </c>
      <c r="C630" s="42">
        <v>17014.349609375</v>
      </c>
      <c r="D630" s="289">
        <f t="shared" si="18"/>
        <v>-6.3800837728176449E-3</v>
      </c>
      <c r="E630" s="289">
        <f t="shared" si="19"/>
        <v>-1.8364931634239374E-2</v>
      </c>
      <c r="F630" s="14"/>
      <c r="G630" s="14"/>
    </row>
    <row r="631" spans="1:7" ht="14.25" customHeight="1" x14ac:dyDescent="0.3">
      <c r="A631" s="41">
        <v>44848</v>
      </c>
      <c r="B631" s="42">
        <v>1911.59997558594</v>
      </c>
      <c r="C631" s="42">
        <v>17185.69921875</v>
      </c>
      <c r="D631" s="289">
        <f t="shared" si="18"/>
        <v>1.0070888003887344E-2</v>
      </c>
      <c r="E631" s="289">
        <f t="shared" si="19"/>
        <v>1.8895051414106058E-2</v>
      </c>
      <c r="F631" s="14"/>
      <c r="G631" s="14"/>
    </row>
    <row r="632" spans="1:7" ht="14.25" customHeight="1" x14ac:dyDescent="0.3">
      <c r="A632" s="41">
        <v>44851</v>
      </c>
      <c r="B632" s="42">
        <v>1883.19995117188</v>
      </c>
      <c r="C632" s="42">
        <v>17311.80078125</v>
      </c>
      <c r="D632" s="289">
        <f t="shared" si="18"/>
        <v>7.3375869608156676E-3</v>
      </c>
      <c r="E632" s="289">
        <f t="shared" si="19"/>
        <v>-1.4856677535452927E-2</v>
      </c>
      <c r="F632" s="14"/>
      <c r="G632" s="14"/>
    </row>
    <row r="633" spans="1:7" ht="14.25" customHeight="1" x14ac:dyDescent="0.3">
      <c r="A633" s="41">
        <v>44852</v>
      </c>
      <c r="B633" s="42">
        <v>1918.09997558594</v>
      </c>
      <c r="C633" s="42">
        <v>17486.94921875</v>
      </c>
      <c r="D633" s="289">
        <f t="shared" si="18"/>
        <v>1.0117285874136163E-2</v>
      </c>
      <c r="E633" s="289">
        <f t="shared" si="19"/>
        <v>1.8532298916183791E-2</v>
      </c>
      <c r="F633" s="14"/>
      <c r="G633" s="14"/>
    </row>
    <row r="634" spans="1:7" ht="14.25" customHeight="1" x14ac:dyDescent="0.3">
      <c r="A634" s="41">
        <v>44853</v>
      </c>
      <c r="B634" s="42">
        <v>1904.90002441406</v>
      </c>
      <c r="C634" s="42">
        <v>17512.25</v>
      </c>
      <c r="D634" s="289">
        <f t="shared" si="18"/>
        <v>1.4468379208691124E-3</v>
      </c>
      <c r="E634" s="289">
        <f t="shared" si="19"/>
        <v>-6.8817847556917307E-3</v>
      </c>
      <c r="F634" s="14"/>
      <c r="G634" s="14"/>
    </row>
    <row r="635" spans="1:7" ht="14.25" customHeight="1" x14ac:dyDescent="0.3">
      <c r="A635" s="41">
        <v>44854</v>
      </c>
      <c r="B635" s="42">
        <v>1904.15002441406</v>
      </c>
      <c r="C635" s="42">
        <v>17563.94921875</v>
      </c>
      <c r="D635" s="289">
        <f t="shared" si="18"/>
        <v>2.9521745492441004E-3</v>
      </c>
      <c r="E635" s="289">
        <f t="shared" si="19"/>
        <v>-3.9372145014838621E-4</v>
      </c>
      <c r="F635" s="14"/>
      <c r="G635" s="14"/>
    </row>
    <row r="636" spans="1:7" ht="14.25" customHeight="1" x14ac:dyDescent="0.3">
      <c r="A636" s="41">
        <v>44855</v>
      </c>
      <c r="B636" s="42">
        <v>1876.75</v>
      </c>
      <c r="C636" s="42">
        <v>17576.30078125</v>
      </c>
      <c r="D636" s="289">
        <f t="shared" si="18"/>
        <v>7.0323378564624668E-4</v>
      </c>
      <c r="E636" s="289">
        <f t="shared" si="19"/>
        <v>-1.4389635303285235E-2</v>
      </c>
      <c r="F636" s="14"/>
      <c r="G636" s="14"/>
    </row>
    <row r="637" spans="1:7" ht="14.25" customHeight="1" x14ac:dyDescent="0.3">
      <c r="A637" s="41">
        <v>44858</v>
      </c>
      <c r="B637" s="42">
        <v>1909.75</v>
      </c>
      <c r="C637" s="42">
        <v>17730.75</v>
      </c>
      <c r="D637" s="289">
        <f t="shared" si="18"/>
        <v>8.7873563767617655E-3</v>
      </c>
      <c r="E637" s="289">
        <f t="shared" si="19"/>
        <v>1.7583588650592782E-2</v>
      </c>
      <c r="F637" s="14"/>
      <c r="G637" s="14"/>
    </row>
    <row r="638" spans="1:7" ht="14.25" customHeight="1" x14ac:dyDescent="0.3">
      <c r="A638" s="41">
        <v>44859</v>
      </c>
      <c r="B638" s="42">
        <v>1949.09997558594</v>
      </c>
      <c r="C638" s="42">
        <v>17656.349609375</v>
      </c>
      <c r="D638" s="289">
        <f t="shared" si="18"/>
        <v>-4.1961220267050185E-3</v>
      </c>
      <c r="E638" s="289">
        <f t="shared" si="19"/>
        <v>2.0604778419133395E-2</v>
      </c>
      <c r="F638" s="14"/>
      <c r="G638" s="14"/>
    </row>
    <row r="639" spans="1:7" ht="14.25" customHeight="1" x14ac:dyDescent="0.3">
      <c r="A639" s="41">
        <v>44861</v>
      </c>
      <c r="B639" s="42">
        <v>1964.05004882813</v>
      </c>
      <c r="C639" s="42">
        <v>17736.94921875</v>
      </c>
      <c r="D639" s="289">
        <f t="shared" si="18"/>
        <v>4.5649078749666347E-3</v>
      </c>
      <c r="E639" s="289">
        <f t="shared" si="19"/>
        <v>7.6702444356122361E-3</v>
      </c>
      <c r="F639" s="14"/>
      <c r="G639" s="14"/>
    </row>
    <row r="640" spans="1:7" ht="14.25" customHeight="1" x14ac:dyDescent="0.3">
      <c r="A640" s="41">
        <v>44862</v>
      </c>
      <c r="B640" s="42">
        <v>1975.05004882813</v>
      </c>
      <c r="C640" s="42">
        <v>17786.80078125</v>
      </c>
      <c r="D640" s="289">
        <f t="shared" si="18"/>
        <v>2.8106052447453111E-3</v>
      </c>
      <c r="E640" s="289">
        <f t="shared" si="19"/>
        <v>5.6006719414117062E-3</v>
      </c>
      <c r="F640" s="14"/>
      <c r="G640" s="14"/>
    </row>
    <row r="641" spans="1:7" ht="14.25" customHeight="1" x14ac:dyDescent="0.3">
      <c r="A641" s="41">
        <v>44865</v>
      </c>
      <c r="B641" s="42">
        <v>2023.09997558594</v>
      </c>
      <c r="C641" s="42">
        <v>18012.19921875</v>
      </c>
      <c r="D641" s="289">
        <f t="shared" si="18"/>
        <v>1.2672230395564126E-2</v>
      </c>
      <c r="E641" s="289">
        <f t="shared" si="19"/>
        <v>2.4328460327534378E-2</v>
      </c>
      <c r="F641" s="14"/>
      <c r="G641" s="14"/>
    </row>
    <row r="642" spans="1:7" ht="14.25" customHeight="1" x14ac:dyDescent="0.3">
      <c r="A642" s="41">
        <v>44866</v>
      </c>
      <c r="B642" s="42">
        <v>2024.44995117188</v>
      </c>
      <c r="C642" s="42">
        <v>18145.400390625</v>
      </c>
      <c r="D642" s="289">
        <f t="shared" si="18"/>
        <v>7.3950532223928962E-3</v>
      </c>
      <c r="E642" s="289">
        <f t="shared" si="19"/>
        <v>6.6728070892740465E-4</v>
      </c>
      <c r="F642" s="14"/>
      <c r="G642" s="14"/>
    </row>
    <row r="643" spans="1:7" ht="14.25" customHeight="1" x14ac:dyDescent="0.3">
      <c r="A643" s="41">
        <v>44867</v>
      </c>
      <c r="B643" s="42">
        <v>2013.30004882813</v>
      </c>
      <c r="C643" s="42">
        <v>18082.849609375</v>
      </c>
      <c r="D643" s="289">
        <f t="shared" ref="D643:D706" si="20">(C643-C642)/C642</f>
        <v>-3.4471976315450983E-3</v>
      </c>
      <c r="E643" s="289">
        <f t="shared" ref="E643:E706" si="21">(B643-B642)/B642</f>
        <v>-5.5076206439658975E-3</v>
      </c>
      <c r="F643" s="14"/>
      <c r="G643" s="14"/>
    </row>
    <row r="644" spans="1:7" ht="14.25" customHeight="1" x14ac:dyDescent="0.3">
      <c r="A644" s="41">
        <v>44868</v>
      </c>
      <c r="B644" s="42">
        <v>2008.69995117188</v>
      </c>
      <c r="C644" s="42">
        <v>18052.69921875</v>
      </c>
      <c r="D644" s="289">
        <f t="shared" si="20"/>
        <v>-1.6673473084335456E-3</v>
      </c>
      <c r="E644" s="289">
        <f t="shared" si="21"/>
        <v>-2.2848544899840202E-3</v>
      </c>
      <c r="F644" s="14"/>
      <c r="G644" s="14"/>
    </row>
    <row r="645" spans="1:7" ht="14.25" customHeight="1" x14ac:dyDescent="0.3">
      <c r="A645" s="41">
        <v>44869</v>
      </c>
      <c r="B645" s="42">
        <v>2015.09997558594</v>
      </c>
      <c r="C645" s="42">
        <v>18117.150390625</v>
      </c>
      <c r="D645" s="289">
        <f t="shared" si="20"/>
        <v>3.5701681556882833E-3</v>
      </c>
      <c r="E645" s="289">
        <f t="shared" si="21"/>
        <v>3.1861525213490497E-3</v>
      </c>
      <c r="F645" s="14"/>
      <c r="G645" s="14"/>
    </row>
    <row r="646" spans="1:7" ht="14.25" customHeight="1" x14ac:dyDescent="0.3">
      <c r="A646" s="41">
        <v>44872</v>
      </c>
      <c r="B646" s="42">
        <v>2017.65002441406</v>
      </c>
      <c r="C646" s="42">
        <v>18202.80078125</v>
      </c>
      <c r="D646" s="289">
        <f t="shared" si="20"/>
        <v>4.7275862251119315E-3</v>
      </c>
      <c r="E646" s="289">
        <f t="shared" si="21"/>
        <v>1.265470130025935E-3</v>
      </c>
      <c r="F646" s="14"/>
      <c r="G646" s="14"/>
    </row>
    <row r="647" spans="1:7" ht="14.25" customHeight="1" x14ac:dyDescent="0.3">
      <c r="A647" s="41">
        <v>44874</v>
      </c>
      <c r="B647" s="42">
        <v>2003.5</v>
      </c>
      <c r="C647" s="42">
        <v>18157</v>
      </c>
      <c r="D647" s="289">
        <f t="shared" si="20"/>
        <v>-2.5161392359563488E-3</v>
      </c>
      <c r="E647" s="289">
        <f t="shared" si="21"/>
        <v>-7.0131213257211278E-3</v>
      </c>
      <c r="F647" s="14"/>
      <c r="G647" s="14"/>
    </row>
    <row r="648" spans="1:7" ht="14.25" customHeight="1" x14ac:dyDescent="0.3">
      <c r="A648" s="41">
        <v>44875</v>
      </c>
      <c r="B648" s="42">
        <v>1977.65002441406</v>
      </c>
      <c r="C648" s="42">
        <v>18028.19921875</v>
      </c>
      <c r="D648" s="289">
        <f t="shared" si="20"/>
        <v>-7.093725904609792E-3</v>
      </c>
      <c r="E648" s="289">
        <f t="shared" si="21"/>
        <v>-1.2902408577958572E-2</v>
      </c>
      <c r="F648" s="14"/>
      <c r="G648" s="14"/>
    </row>
    <row r="649" spans="1:7" ht="14.25" customHeight="1" x14ac:dyDescent="0.3">
      <c r="A649" s="41">
        <v>44876</v>
      </c>
      <c r="B649" s="42">
        <v>2011.09997558594</v>
      </c>
      <c r="C649" s="42">
        <v>18349.69921875</v>
      </c>
      <c r="D649" s="289">
        <f t="shared" si="20"/>
        <v>1.7833173247033349E-2</v>
      </c>
      <c r="E649" s="289">
        <f t="shared" si="21"/>
        <v>1.6913989208879657E-2</v>
      </c>
      <c r="F649" s="14"/>
      <c r="G649" s="14"/>
    </row>
    <row r="650" spans="1:7" ht="14.25" customHeight="1" x14ac:dyDescent="0.3">
      <c r="A650" s="41">
        <v>44879</v>
      </c>
      <c r="B650" s="42">
        <v>1999.80004882813</v>
      </c>
      <c r="C650" s="42">
        <v>18329.150390625</v>
      </c>
      <c r="D650" s="289">
        <f t="shared" si="20"/>
        <v>-1.1198455015547556E-3</v>
      </c>
      <c r="E650" s="289">
        <f t="shared" si="21"/>
        <v>-5.6187792228070271E-3</v>
      </c>
      <c r="F650" s="14"/>
      <c r="G650" s="14"/>
    </row>
    <row r="651" spans="1:7" ht="14.25" customHeight="1" x14ac:dyDescent="0.3">
      <c r="A651" s="41">
        <v>44880</v>
      </c>
      <c r="B651" s="42">
        <v>1996.55004882813</v>
      </c>
      <c r="C651" s="42">
        <v>18403.400390625</v>
      </c>
      <c r="D651" s="289">
        <f t="shared" si="20"/>
        <v>4.0509242609508738E-3</v>
      </c>
      <c r="E651" s="289">
        <f t="shared" si="21"/>
        <v>-1.6251624765708348E-3</v>
      </c>
      <c r="F651" s="14"/>
      <c r="G651" s="14"/>
    </row>
    <row r="652" spans="1:7" ht="14.25" customHeight="1" x14ac:dyDescent="0.3">
      <c r="A652" s="41">
        <v>44881</v>
      </c>
      <c r="B652" s="42">
        <v>2003.59997558594</v>
      </c>
      <c r="C652" s="42">
        <v>18409.650390625</v>
      </c>
      <c r="D652" s="289">
        <f t="shared" si="20"/>
        <v>3.3961115159912808E-4</v>
      </c>
      <c r="E652" s="289">
        <f t="shared" si="21"/>
        <v>3.5310543614711465E-3</v>
      </c>
      <c r="F652" s="14"/>
      <c r="G652" s="14"/>
    </row>
    <row r="653" spans="1:7" ht="14.25" customHeight="1" x14ac:dyDescent="0.3">
      <c r="A653" s="41">
        <v>44882</v>
      </c>
      <c r="B653" s="42">
        <v>2029.55004882813</v>
      </c>
      <c r="C653" s="42">
        <v>18343.900390625</v>
      </c>
      <c r="D653" s="289">
        <f t="shared" si="20"/>
        <v>-3.5714963948192506E-3</v>
      </c>
      <c r="E653" s="289">
        <f t="shared" si="21"/>
        <v>1.2951723676579237E-2</v>
      </c>
      <c r="F653" s="14"/>
      <c r="G653" s="14"/>
    </row>
    <row r="654" spans="1:7" ht="14.25" customHeight="1" x14ac:dyDescent="0.3">
      <c r="A654" s="41">
        <v>44883</v>
      </c>
      <c r="B654" s="42">
        <v>2024.44995117188</v>
      </c>
      <c r="C654" s="42">
        <v>18307.650390625</v>
      </c>
      <c r="D654" s="289">
        <f t="shared" si="20"/>
        <v>-1.9761337135545203E-3</v>
      </c>
      <c r="E654" s="289">
        <f t="shared" si="21"/>
        <v>-2.5129203683322892E-3</v>
      </c>
      <c r="F654" s="14"/>
      <c r="G654" s="14"/>
    </row>
    <row r="655" spans="1:7" ht="14.25" customHeight="1" x14ac:dyDescent="0.3">
      <c r="A655" s="41">
        <v>44886</v>
      </c>
      <c r="B655" s="42">
        <v>2011.44995117188</v>
      </c>
      <c r="C655" s="42">
        <v>18159.94921875</v>
      </c>
      <c r="D655" s="289">
        <f t="shared" si="20"/>
        <v>-8.0677295405769262E-3</v>
      </c>
      <c r="E655" s="289">
        <f t="shared" si="21"/>
        <v>-6.4214973516508898E-3</v>
      </c>
      <c r="F655" s="14"/>
      <c r="G655" s="14"/>
    </row>
    <row r="656" spans="1:7" ht="14.25" customHeight="1" x14ac:dyDescent="0.3">
      <c r="A656" s="41">
        <v>44887</v>
      </c>
      <c r="B656" s="42">
        <v>2029.80004882813</v>
      </c>
      <c r="C656" s="42">
        <v>18244.19921875</v>
      </c>
      <c r="D656" s="289">
        <f t="shared" si="20"/>
        <v>4.6393301536885668E-3</v>
      </c>
      <c r="E656" s="289">
        <f t="shared" si="21"/>
        <v>9.1228209011907802E-3</v>
      </c>
      <c r="F656" s="14"/>
      <c r="G656" s="14"/>
    </row>
    <row r="657" spans="1:7" ht="14.25" customHeight="1" x14ac:dyDescent="0.3">
      <c r="A657" s="41">
        <v>44888</v>
      </c>
      <c r="B657" s="42">
        <v>2025</v>
      </c>
      <c r="C657" s="42">
        <v>18267.25</v>
      </c>
      <c r="D657" s="289">
        <f t="shared" si="20"/>
        <v>1.2634580983039343E-3</v>
      </c>
      <c r="E657" s="289">
        <f t="shared" si="21"/>
        <v>-2.364789000227499E-3</v>
      </c>
      <c r="F657" s="14"/>
      <c r="G657" s="14"/>
    </row>
    <row r="658" spans="1:7" ht="14.25" customHeight="1" x14ac:dyDescent="0.3">
      <c r="A658" s="41">
        <v>44889</v>
      </c>
      <c r="B658" s="42">
        <v>2052.19995117188</v>
      </c>
      <c r="C658" s="42">
        <v>18484.099609375</v>
      </c>
      <c r="D658" s="289">
        <f t="shared" si="20"/>
        <v>1.1870949889830161E-2</v>
      </c>
      <c r="E658" s="289">
        <f t="shared" si="21"/>
        <v>1.3432074652780249E-2</v>
      </c>
      <c r="F658" s="14"/>
      <c r="G658" s="14"/>
    </row>
    <row r="659" spans="1:7" ht="14.25" customHeight="1" x14ac:dyDescent="0.3">
      <c r="A659" s="41">
        <v>44890</v>
      </c>
      <c r="B659" s="42">
        <v>2062.75</v>
      </c>
      <c r="C659" s="42">
        <v>18512.75</v>
      </c>
      <c r="D659" s="289">
        <f t="shared" si="20"/>
        <v>1.5500019600883741E-3</v>
      </c>
      <c r="E659" s="289">
        <f t="shared" si="21"/>
        <v>5.1408483964223567E-3</v>
      </c>
      <c r="F659" s="14"/>
      <c r="G659" s="14"/>
    </row>
    <row r="660" spans="1:7" ht="14.25" customHeight="1" x14ac:dyDescent="0.3">
      <c r="A660" s="41">
        <v>44893</v>
      </c>
      <c r="B660" s="42">
        <v>2064.44995117188</v>
      </c>
      <c r="C660" s="42">
        <v>18562.75</v>
      </c>
      <c r="D660" s="289">
        <f t="shared" si="20"/>
        <v>2.7008413120687092E-3</v>
      </c>
      <c r="E660" s="289">
        <f t="shared" si="21"/>
        <v>8.2411885680766072E-4</v>
      </c>
      <c r="F660" s="14"/>
      <c r="G660" s="14"/>
    </row>
    <row r="661" spans="1:7" ht="14.25" customHeight="1" x14ac:dyDescent="0.3">
      <c r="A661" s="41">
        <v>44894</v>
      </c>
      <c r="B661" s="42">
        <v>2050.55004882813</v>
      </c>
      <c r="C661" s="42">
        <v>18618.05078125</v>
      </c>
      <c r="D661" s="289">
        <f t="shared" si="20"/>
        <v>2.9791265437502526E-3</v>
      </c>
      <c r="E661" s="289">
        <f t="shared" si="21"/>
        <v>-6.7329810227948388E-3</v>
      </c>
      <c r="F661" s="14"/>
      <c r="G661" s="14"/>
    </row>
    <row r="662" spans="1:7" ht="14.25" customHeight="1" x14ac:dyDescent="0.3">
      <c r="A662" s="41">
        <v>44895</v>
      </c>
      <c r="B662" s="42">
        <v>2074.85009765625</v>
      </c>
      <c r="C662" s="42">
        <v>18758.349609375</v>
      </c>
      <c r="D662" s="289">
        <f t="shared" si="20"/>
        <v>7.5356346254191742E-3</v>
      </c>
      <c r="E662" s="289">
        <f t="shared" si="21"/>
        <v>1.1850502669762801E-2</v>
      </c>
      <c r="F662" s="14"/>
      <c r="G662" s="14"/>
    </row>
    <row r="663" spans="1:7" ht="14.25" customHeight="1" x14ac:dyDescent="0.3">
      <c r="A663" s="41">
        <v>44896</v>
      </c>
      <c r="B663" s="42">
        <v>2104.25</v>
      </c>
      <c r="C663" s="42">
        <v>18812.5</v>
      </c>
      <c r="D663" s="289">
        <f t="shared" si="20"/>
        <v>2.8867353340049093E-3</v>
      </c>
      <c r="E663" s="289">
        <f t="shared" si="21"/>
        <v>1.4169651280813067E-2</v>
      </c>
      <c r="F663" s="14"/>
      <c r="G663" s="14"/>
    </row>
    <row r="664" spans="1:7" ht="14.25" customHeight="1" x14ac:dyDescent="0.3">
      <c r="A664" s="41">
        <v>44897</v>
      </c>
      <c r="B664" s="42">
        <v>2085.5</v>
      </c>
      <c r="C664" s="42">
        <v>18696.099609375</v>
      </c>
      <c r="D664" s="289">
        <f t="shared" si="20"/>
        <v>-6.1873961794019936E-3</v>
      </c>
      <c r="E664" s="289">
        <f t="shared" si="21"/>
        <v>-8.9105381965070684E-3</v>
      </c>
      <c r="F664" s="14"/>
      <c r="G664" s="14"/>
    </row>
    <row r="665" spans="1:7" ht="14.25" customHeight="1" x14ac:dyDescent="0.3">
      <c r="A665" s="41">
        <v>44900</v>
      </c>
      <c r="B665" s="42">
        <v>2085.60009765625</v>
      </c>
      <c r="C665" s="42">
        <v>18701.05078125</v>
      </c>
      <c r="D665" s="289">
        <f t="shared" si="20"/>
        <v>2.6482378562624241E-4</v>
      </c>
      <c r="E665" s="289">
        <f t="shared" si="21"/>
        <v>4.7996958163509952E-5</v>
      </c>
      <c r="F665" s="14"/>
      <c r="G665" s="14"/>
    </row>
    <row r="666" spans="1:7" ht="14.25" customHeight="1" x14ac:dyDescent="0.3">
      <c r="A666" s="41">
        <v>44901</v>
      </c>
      <c r="B666" s="42">
        <v>2093.5</v>
      </c>
      <c r="C666" s="42">
        <v>18642.75</v>
      </c>
      <c r="D666" s="289">
        <f t="shared" si="20"/>
        <v>-3.1175136590962781E-3</v>
      </c>
      <c r="E666" s="289">
        <f t="shared" si="21"/>
        <v>3.7878317864617145E-3</v>
      </c>
      <c r="F666" s="14"/>
      <c r="G666" s="14"/>
    </row>
    <row r="667" spans="1:7" ht="14.25" customHeight="1" x14ac:dyDescent="0.3">
      <c r="A667" s="41">
        <v>44902</v>
      </c>
      <c r="B667" s="42">
        <v>2124</v>
      </c>
      <c r="C667" s="42">
        <v>18560.5</v>
      </c>
      <c r="D667" s="289">
        <f t="shared" si="20"/>
        <v>-4.4119027503989484E-3</v>
      </c>
      <c r="E667" s="289">
        <f t="shared" si="21"/>
        <v>1.4568903749701457E-2</v>
      </c>
      <c r="F667" s="14"/>
      <c r="G667" s="14"/>
    </row>
    <row r="668" spans="1:7" ht="14.25" customHeight="1" x14ac:dyDescent="0.3">
      <c r="A668" s="41">
        <v>44903</v>
      </c>
      <c r="B668" s="42">
        <v>2167.69995117188</v>
      </c>
      <c r="C668" s="42">
        <v>18609.349609375</v>
      </c>
      <c r="D668" s="289">
        <f t="shared" si="20"/>
        <v>2.6319123609277765E-3</v>
      </c>
      <c r="E668" s="289">
        <f t="shared" si="21"/>
        <v>2.0574364958512243E-2</v>
      </c>
      <c r="F668" s="14"/>
      <c r="G668" s="14"/>
    </row>
    <row r="669" spans="1:7" ht="14.25" customHeight="1" x14ac:dyDescent="0.3">
      <c r="A669" s="41">
        <v>44904</v>
      </c>
      <c r="B669" s="42">
        <v>2154.05004882813</v>
      </c>
      <c r="C669" s="42">
        <v>18496.599609375</v>
      </c>
      <c r="D669" s="289">
        <f t="shared" si="20"/>
        <v>-6.058782405979353E-3</v>
      </c>
      <c r="E669" s="289">
        <f t="shared" si="21"/>
        <v>-6.2969519081138179E-3</v>
      </c>
      <c r="F669" s="14"/>
      <c r="G669" s="14"/>
    </row>
    <row r="670" spans="1:7" ht="14.25" customHeight="1" x14ac:dyDescent="0.3">
      <c r="A670" s="41">
        <v>44907</v>
      </c>
      <c r="B670" s="42">
        <v>2163.69995117188</v>
      </c>
      <c r="C670" s="42">
        <v>18497.150390625</v>
      </c>
      <c r="D670" s="289">
        <f t="shared" si="20"/>
        <v>2.9777432697458433E-5</v>
      </c>
      <c r="E670" s="289">
        <f t="shared" si="21"/>
        <v>4.479887711522695E-3</v>
      </c>
      <c r="F670" s="14"/>
      <c r="G670" s="14"/>
    </row>
    <row r="671" spans="1:7" ht="14.25" customHeight="1" x14ac:dyDescent="0.3">
      <c r="A671" s="41">
        <v>44908</v>
      </c>
      <c r="B671" s="42">
        <v>2172.89990234375</v>
      </c>
      <c r="C671" s="42">
        <v>18608</v>
      </c>
      <c r="D671" s="289">
        <f t="shared" si="20"/>
        <v>5.9927938646799584E-3</v>
      </c>
      <c r="E671" s="289">
        <f t="shared" si="21"/>
        <v>4.2519533112191548E-3</v>
      </c>
      <c r="F671" s="14"/>
      <c r="G671" s="14"/>
    </row>
    <row r="672" spans="1:7" ht="14.25" customHeight="1" x14ac:dyDescent="0.3">
      <c r="A672" s="41">
        <v>44909</v>
      </c>
      <c r="B672" s="42">
        <v>2195.44995117188</v>
      </c>
      <c r="C672" s="42">
        <v>18660.30078125</v>
      </c>
      <c r="D672" s="289">
        <f t="shared" si="20"/>
        <v>2.8106610731943251E-3</v>
      </c>
      <c r="E672" s="289">
        <f t="shared" si="21"/>
        <v>1.0377859009431081E-2</v>
      </c>
      <c r="F672" s="14"/>
      <c r="G672" s="14"/>
    </row>
    <row r="673" spans="1:7" ht="14.25" customHeight="1" x14ac:dyDescent="0.3">
      <c r="A673" s="41">
        <v>44910</v>
      </c>
      <c r="B673" s="42">
        <v>2177.55004882813</v>
      </c>
      <c r="C673" s="42">
        <v>18414.900390625</v>
      </c>
      <c r="D673" s="289">
        <f t="shared" si="20"/>
        <v>-1.3150934355333651E-2</v>
      </c>
      <c r="E673" s="289">
        <f t="shared" si="21"/>
        <v>-8.1531816902478006E-3</v>
      </c>
      <c r="F673" s="14"/>
      <c r="G673" s="14"/>
    </row>
    <row r="674" spans="1:7" ht="14.25" customHeight="1" x14ac:dyDescent="0.3">
      <c r="A674" s="41">
        <v>44911</v>
      </c>
      <c r="B674" s="42">
        <v>2175</v>
      </c>
      <c r="C674" s="42">
        <v>18269</v>
      </c>
      <c r="D674" s="289">
        <f t="shared" si="20"/>
        <v>-7.9229530179418008E-3</v>
      </c>
      <c r="E674" s="289">
        <f t="shared" si="21"/>
        <v>-1.1710632458263525E-3</v>
      </c>
      <c r="F674" s="14"/>
      <c r="G674" s="14"/>
    </row>
    <row r="675" spans="1:7" ht="14.25" customHeight="1" x14ac:dyDescent="0.3">
      <c r="A675" s="41">
        <v>44914</v>
      </c>
      <c r="B675" s="42">
        <v>2184</v>
      </c>
      <c r="C675" s="42">
        <v>18420.44921875</v>
      </c>
      <c r="D675" s="289">
        <f t="shared" si="20"/>
        <v>8.2899566889265974E-3</v>
      </c>
      <c r="E675" s="289">
        <f t="shared" si="21"/>
        <v>4.1379310344827587E-3</v>
      </c>
      <c r="F675" s="14"/>
      <c r="G675" s="14"/>
    </row>
    <row r="676" spans="1:7" ht="14.25" customHeight="1" x14ac:dyDescent="0.3">
      <c r="A676" s="41">
        <v>44915</v>
      </c>
      <c r="B676" s="42">
        <v>2163.25</v>
      </c>
      <c r="C676" s="42">
        <v>18385.30078125</v>
      </c>
      <c r="D676" s="289">
        <f t="shared" si="20"/>
        <v>-1.9081205394395452E-3</v>
      </c>
      <c r="E676" s="289">
        <f t="shared" si="21"/>
        <v>-9.5009157509157501E-3</v>
      </c>
      <c r="F676" s="14"/>
      <c r="G676" s="14"/>
    </row>
    <row r="677" spans="1:7" ht="14.25" customHeight="1" x14ac:dyDescent="0.3">
      <c r="A677" s="41">
        <v>44916</v>
      </c>
      <c r="B677" s="42">
        <v>2146.30004882813</v>
      </c>
      <c r="C677" s="42">
        <v>18199.099609375</v>
      </c>
      <c r="D677" s="289">
        <f t="shared" si="20"/>
        <v>-1.012771964355866E-2</v>
      </c>
      <c r="E677" s="289">
        <f t="shared" si="21"/>
        <v>-7.8354102262198078E-3</v>
      </c>
      <c r="F677" s="14"/>
      <c r="G677" s="14"/>
    </row>
    <row r="678" spans="1:7" ht="14.25" customHeight="1" x14ac:dyDescent="0.3">
      <c r="A678" s="41">
        <v>44917</v>
      </c>
      <c r="B678" s="42">
        <v>2109.94995117188</v>
      </c>
      <c r="C678" s="42">
        <v>18127.349609375</v>
      </c>
      <c r="D678" s="289">
        <f t="shared" si="20"/>
        <v>-3.9425027358517802E-3</v>
      </c>
      <c r="E678" s="289">
        <f t="shared" si="21"/>
        <v>-1.6936167744159063E-2</v>
      </c>
      <c r="F678" s="14"/>
      <c r="G678" s="14"/>
    </row>
    <row r="679" spans="1:7" ht="14.25" customHeight="1" x14ac:dyDescent="0.3">
      <c r="A679" s="41">
        <v>44918</v>
      </c>
      <c r="B679" s="42">
        <v>2062.75</v>
      </c>
      <c r="C679" s="42">
        <v>17806.80078125</v>
      </c>
      <c r="D679" s="289">
        <f t="shared" si="20"/>
        <v>-1.7683160254117921E-2</v>
      </c>
      <c r="E679" s="289">
        <f t="shared" si="21"/>
        <v>-2.2370175721781856E-2</v>
      </c>
      <c r="F679" s="14"/>
      <c r="G679" s="14"/>
    </row>
    <row r="680" spans="1:7" ht="14.25" customHeight="1" x14ac:dyDescent="0.3">
      <c r="A680" s="41">
        <v>44921</v>
      </c>
      <c r="B680" s="42">
        <v>2091.05004882813</v>
      </c>
      <c r="C680" s="42">
        <v>18014.599609375</v>
      </c>
      <c r="D680" s="289">
        <f t="shared" si="20"/>
        <v>1.1669632893506936E-2</v>
      </c>
      <c r="E680" s="289">
        <f t="shared" si="21"/>
        <v>1.3719572816933706E-2</v>
      </c>
      <c r="F680" s="14"/>
      <c r="G680" s="14"/>
    </row>
    <row r="681" spans="1:7" ht="14.25" customHeight="1" x14ac:dyDescent="0.3">
      <c r="A681" s="41">
        <v>44922</v>
      </c>
      <c r="B681" s="42">
        <v>2124.10009765625</v>
      </c>
      <c r="C681" s="42">
        <v>18132.30078125</v>
      </c>
      <c r="D681" s="289">
        <f t="shared" si="20"/>
        <v>6.533654614990554E-3</v>
      </c>
      <c r="E681" s="289">
        <f t="shared" si="21"/>
        <v>1.5805479570726661E-2</v>
      </c>
      <c r="F681" s="14"/>
      <c r="G681" s="14"/>
    </row>
    <row r="682" spans="1:7" ht="14.25" customHeight="1" x14ac:dyDescent="0.3">
      <c r="A682" s="41">
        <v>44923</v>
      </c>
      <c r="B682" s="42">
        <v>2121.10009765625</v>
      </c>
      <c r="C682" s="42">
        <v>18122.5</v>
      </c>
      <c r="D682" s="289">
        <f t="shared" si="20"/>
        <v>-5.405150382313676E-4</v>
      </c>
      <c r="E682" s="289">
        <f t="shared" si="21"/>
        <v>-1.4123628181695511E-3</v>
      </c>
      <c r="F682" s="14"/>
      <c r="G682" s="14"/>
    </row>
    <row r="683" spans="1:7" ht="14.25" customHeight="1" x14ac:dyDescent="0.3">
      <c r="A683" s="41">
        <v>44924</v>
      </c>
      <c r="B683" s="42">
        <v>2110.89990234375</v>
      </c>
      <c r="C683" s="42">
        <v>18191</v>
      </c>
      <c r="D683" s="289">
        <f t="shared" si="20"/>
        <v>3.7798317009242652E-3</v>
      </c>
      <c r="E683" s="289">
        <f t="shared" si="21"/>
        <v>-4.8089174687092331E-3</v>
      </c>
      <c r="F683" s="14"/>
      <c r="G683" s="14"/>
    </row>
    <row r="684" spans="1:7" ht="14.25" customHeight="1" x14ac:dyDescent="0.3">
      <c r="A684" s="41">
        <v>44925</v>
      </c>
      <c r="B684" s="42">
        <v>2085.80004882813</v>
      </c>
      <c r="C684" s="42">
        <v>18105.30078125</v>
      </c>
      <c r="D684" s="289">
        <f t="shared" si="20"/>
        <v>-4.7110779368918698E-3</v>
      </c>
      <c r="E684" s="289">
        <f t="shared" si="21"/>
        <v>-1.1890593906301013E-2</v>
      </c>
      <c r="F684" s="14"/>
      <c r="G684" s="14"/>
    </row>
    <row r="685" spans="1:7" ht="14.25" customHeight="1" x14ac:dyDescent="0.3">
      <c r="A685" s="41">
        <v>44928</v>
      </c>
      <c r="B685" s="42">
        <v>2089.44995117188</v>
      </c>
      <c r="C685" s="42">
        <v>18197.44921875</v>
      </c>
      <c r="D685" s="289">
        <f t="shared" si="20"/>
        <v>5.0895833553579895E-3</v>
      </c>
      <c r="E685" s="289">
        <f t="shared" si="21"/>
        <v>1.7498812246172079E-3</v>
      </c>
      <c r="F685" s="14"/>
      <c r="G685" s="14"/>
    </row>
    <row r="686" spans="1:7" ht="14.25" customHeight="1" x14ac:dyDescent="0.3">
      <c r="A686" s="41">
        <v>44929</v>
      </c>
      <c r="B686" s="42">
        <v>2088.94995117188</v>
      </c>
      <c r="C686" s="42">
        <v>18232.55078125</v>
      </c>
      <c r="D686" s="289">
        <f t="shared" si="20"/>
        <v>1.928927624858137E-3</v>
      </c>
      <c r="E686" s="289">
        <f t="shared" si="21"/>
        <v>-2.3929742835887126E-4</v>
      </c>
      <c r="F686" s="14"/>
      <c r="G686" s="14"/>
    </row>
    <row r="687" spans="1:7" ht="14.25" customHeight="1" x14ac:dyDescent="0.3">
      <c r="A687" s="41">
        <v>44930</v>
      </c>
      <c r="B687" s="42">
        <v>2070.55004882813</v>
      </c>
      <c r="C687" s="42">
        <v>18042.94921875</v>
      </c>
      <c r="D687" s="289">
        <f t="shared" si="20"/>
        <v>-1.0399069487028801E-2</v>
      </c>
      <c r="E687" s="289">
        <f t="shared" si="21"/>
        <v>-8.8082064069691275E-3</v>
      </c>
      <c r="F687" s="14"/>
      <c r="G687" s="14"/>
    </row>
    <row r="688" spans="1:7" ht="14.25" customHeight="1" x14ac:dyDescent="0.3">
      <c r="A688" s="41">
        <v>44931</v>
      </c>
      <c r="B688" s="42">
        <v>2087.35009765625</v>
      </c>
      <c r="C688" s="42">
        <v>17992.150390625</v>
      </c>
      <c r="D688" s="289">
        <f t="shared" si="20"/>
        <v>-2.8154392892826255E-3</v>
      </c>
      <c r="E688" s="289">
        <f t="shared" si="21"/>
        <v>8.1138095829310329E-3</v>
      </c>
      <c r="F688" s="14"/>
      <c r="G688" s="14"/>
    </row>
    <row r="689" spans="1:7" ht="14.25" customHeight="1" x14ac:dyDescent="0.3">
      <c r="A689" s="41">
        <v>44932</v>
      </c>
      <c r="B689" s="42">
        <v>2086.55004882813</v>
      </c>
      <c r="C689" s="42">
        <v>17859.44921875</v>
      </c>
      <c r="D689" s="289">
        <f t="shared" si="20"/>
        <v>-7.3755037054462009E-3</v>
      </c>
      <c r="E689" s="289">
        <f t="shared" si="21"/>
        <v>-3.8328444711709873E-4</v>
      </c>
      <c r="F689" s="14"/>
      <c r="G689" s="14"/>
    </row>
    <row r="690" spans="1:7" ht="14.25" customHeight="1" x14ac:dyDescent="0.3">
      <c r="A690" s="41">
        <v>44935</v>
      </c>
      <c r="B690" s="42">
        <v>2121.69995117188</v>
      </c>
      <c r="C690" s="42">
        <v>18101.19921875</v>
      </c>
      <c r="D690" s="289">
        <f t="shared" si="20"/>
        <v>1.3536251708490276E-2</v>
      </c>
      <c r="E690" s="289">
        <f t="shared" si="21"/>
        <v>1.6845942594806797E-2</v>
      </c>
      <c r="F690" s="14"/>
      <c r="G690" s="14"/>
    </row>
    <row r="691" spans="1:7" ht="14.25" customHeight="1" x14ac:dyDescent="0.3">
      <c r="A691" s="41">
        <v>44936</v>
      </c>
      <c r="B691" s="42">
        <v>2106.64990234375</v>
      </c>
      <c r="C691" s="42">
        <v>17914.150390625</v>
      </c>
      <c r="D691" s="289">
        <f t="shared" si="20"/>
        <v>-1.0333504750958532E-2</v>
      </c>
      <c r="E691" s="289">
        <f t="shared" si="21"/>
        <v>-7.0933917021666513E-3</v>
      </c>
      <c r="F691" s="14"/>
      <c r="G691" s="14"/>
    </row>
    <row r="692" spans="1:7" ht="14.25" customHeight="1" x14ac:dyDescent="0.3">
      <c r="A692" s="41">
        <v>44937</v>
      </c>
      <c r="B692" s="42">
        <v>2125.35009765625</v>
      </c>
      <c r="C692" s="42">
        <v>17895.69921875</v>
      </c>
      <c r="D692" s="289">
        <f t="shared" si="20"/>
        <v>-1.0299775022909285E-3</v>
      </c>
      <c r="E692" s="289">
        <f t="shared" si="21"/>
        <v>8.8767456290174875E-3</v>
      </c>
      <c r="F692" s="14"/>
      <c r="G692" s="14"/>
    </row>
    <row r="693" spans="1:7" ht="14.25" customHeight="1" x14ac:dyDescent="0.3">
      <c r="A693" s="41">
        <v>44938</v>
      </c>
      <c r="B693" s="42">
        <v>2159.75</v>
      </c>
      <c r="C693" s="42">
        <v>17858.19921875</v>
      </c>
      <c r="D693" s="289">
        <f t="shared" si="20"/>
        <v>-2.0954755408891671E-3</v>
      </c>
      <c r="E693" s="289">
        <f t="shared" si="21"/>
        <v>1.6185522743610486E-2</v>
      </c>
      <c r="F693" s="14"/>
      <c r="G693" s="14"/>
    </row>
    <row r="694" spans="1:7" ht="14.25" customHeight="1" x14ac:dyDescent="0.3">
      <c r="A694" s="41">
        <v>44939</v>
      </c>
      <c r="B694" s="42">
        <v>2153.39990234375</v>
      </c>
      <c r="C694" s="42">
        <v>17956.599609375</v>
      </c>
      <c r="D694" s="289">
        <f t="shared" si="20"/>
        <v>5.5100959183883276E-3</v>
      </c>
      <c r="E694" s="289">
        <f t="shared" si="21"/>
        <v>-2.9402003270054405E-3</v>
      </c>
      <c r="F694" s="14"/>
      <c r="G694" s="14"/>
    </row>
    <row r="695" spans="1:7" ht="14.25" customHeight="1" x14ac:dyDescent="0.3">
      <c r="A695" s="41">
        <v>44942</v>
      </c>
      <c r="B695" s="42">
        <v>2137.19995117188</v>
      </c>
      <c r="C695" s="42">
        <v>17894.849609375</v>
      </c>
      <c r="D695" s="289">
        <f t="shared" si="20"/>
        <v>-3.4388470725693972E-3</v>
      </c>
      <c r="E695" s="289">
        <f t="shared" si="21"/>
        <v>-7.5229645706949505E-3</v>
      </c>
      <c r="F695" s="14"/>
      <c r="G695" s="14"/>
    </row>
    <row r="696" spans="1:7" ht="14.25" customHeight="1" x14ac:dyDescent="0.3">
      <c r="A696" s="41">
        <v>44943</v>
      </c>
      <c r="B696" s="42">
        <v>2213.10009765625</v>
      </c>
      <c r="C696" s="42">
        <v>18053.30078125</v>
      </c>
      <c r="D696" s="289">
        <f t="shared" si="20"/>
        <v>8.854568511824118E-3</v>
      </c>
      <c r="E696" s="289">
        <f t="shared" si="21"/>
        <v>3.5513825668371392E-2</v>
      </c>
      <c r="F696" s="14"/>
      <c r="G696" s="14"/>
    </row>
    <row r="697" spans="1:7" ht="14.25" customHeight="1" x14ac:dyDescent="0.3">
      <c r="A697" s="41">
        <v>44944</v>
      </c>
      <c r="B697" s="42">
        <v>2266.5</v>
      </c>
      <c r="C697" s="42">
        <v>18165.349609375</v>
      </c>
      <c r="D697" s="289">
        <f t="shared" si="20"/>
        <v>6.2065563235601173E-3</v>
      </c>
      <c r="E697" s="289">
        <f t="shared" si="21"/>
        <v>2.4129004558041615E-2</v>
      </c>
      <c r="F697" s="14"/>
      <c r="G697" s="14"/>
    </row>
    <row r="698" spans="1:7" ht="14.25" customHeight="1" x14ac:dyDescent="0.3">
      <c r="A698" s="41">
        <v>44945</v>
      </c>
      <c r="B698" s="42">
        <v>2273.10009765625</v>
      </c>
      <c r="C698" s="42">
        <v>18107.849609375</v>
      </c>
      <c r="D698" s="289">
        <f t="shared" si="20"/>
        <v>-3.1653670992560848E-3</v>
      </c>
      <c r="E698" s="289">
        <f t="shared" si="21"/>
        <v>2.9120219087800572E-3</v>
      </c>
      <c r="F698" s="14"/>
      <c r="G698" s="14"/>
    </row>
    <row r="699" spans="1:7" ht="14.25" customHeight="1" x14ac:dyDescent="0.3">
      <c r="A699" s="41">
        <v>44946</v>
      </c>
      <c r="B699" s="42">
        <v>2249.94995117188</v>
      </c>
      <c r="C699" s="42">
        <v>18027.650390625</v>
      </c>
      <c r="D699" s="289">
        <f t="shared" si="20"/>
        <v>-4.4289753051891022E-3</v>
      </c>
      <c r="E699" s="289">
        <f t="shared" si="21"/>
        <v>-1.018439377493304E-2</v>
      </c>
      <c r="F699" s="14"/>
      <c r="G699" s="14"/>
    </row>
    <row r="700" spans="1:7" ht="14.25" customHeight="1" x14ac:dyDescent="0.3">
      <c r="A700" s="41">
        <v>44949</v>
      </c>
      <c r="B700" s="42">
        <v>2233.5</v>
      </c>
      <c r="C700" s="42">
        <v>18118.55078125</v>
      </c>
      <c r="D700" s="289">
        <f t="shared" si="20"/>
        <v>5.042276095628709E-3</v>
      </c>
      <c r="E700" s="289">
        <f t="shared" si="21"/>
        <v>-7.3112520406563228E-3</v>
      </c>
      <c r="F700" s="14"/>
      <c r="G700" s="14"/>
    </row>
    <row r="701" spans="1:7" ht="14.25" customHeight="1" x14ac:dyDescent="0.3">
      <c r="A701" s="41">
        <v>44950</v>
      </c>
      <c r="B701" s="42">
        <v>2207.5</v>
      </c>
      <c r="C701" s="42">
        <v>18118.30078125</v>
      </c>
      <c r="D701" s="289">
        <f t="shared" si="20"/>
        <v>-1.3798013043003017E-5</v>
      </c>
      <c r="E701" s="289">
        <f t="shared" si="21"/>
        <v>-1.1640922319229908E-2</v>
      </c>
      <c r="F701" s="14"/>
      <c r="G701" s="14"/>
    </row>
    <row r="702" spans="1:7" ht="14.25" customHeight="1" x14ac:dyDescent="0.3">
      <c r="A702" s="41">
        <v>44951</v>
      </c>
      <c r="B702" s="42">
        <v>2174.69995117188</v>
      </c>
      <c r="C702" s="42">
        <v>17891.94921875</v>
      </c>
      <c r="D702" s="289">
        <f t="shared" si="20"/>
        <v>-1.2492979625012262E-2</v>
      </c>
      <c r="E702" s="289">
        <f t="shared" si="21"/>
        <v>-1.4858459265286523E-2</v>
      </c>
      <c r="F702" s="14"/>
      <c r="G702" s="14"/>
    </row>
    <row r="703" spans="1:7" ht="14.25" customHeight="1" x14ac:dyDescent="0.3">
      <c r="A703" s="41">
        <v>44953</v>
      </c>
      <c r="B703" s="42">
        <v>2159.85009765625</v>
      </c>
      <c r="C703" s="42">
        <v>17604.349609375</v>
      </c>
      <c r="D703" s="289">
        <f t="shared" si="20"/>
        <v>-1.6074246906178778E-2</v>
      </c>
      <c r="E703" s="289">
        <f t="shared" si="21"/>
        <v>-6.8284608677293005E-3</v>
      </c>
      <c r="F703" s="14"/>
      <c r="G703" s="14"/>
    </row>
    <row r="704" spans="1:7" ht="14.25" customHeight="1" x14ac:dyDescent="0.3">
      <c r="A704" s="41">
        <v>44956</v>
      </c>
      <c r="B704" s="42">
        <v>2112.89990234375</v>
      </c>
      <c r="C704" s="42">
        <v>17648.94921875</v>
      </c>
      <c r="D704" s="289">
        <f t="shared" si="20"/>
        <v>2.5334426073456854E-3</v>
      </c>
      <c r="E704" s="289">
        <f t="shared" si="21"/>
        <v>-2.1737710113978632E-2</v>
      </c>
      <c r="F704" s="14"/>
      <c r="G704" s="14"/>
    </row>
    <row r="705" spans="1:7" ht="14.25" customHeight="1" x14ac:dyDescent="0.3">
      <c r="A705" s="41">
        <v>44957</v>
      </c>
      <c r="B705" s="42">
        <v>2124.39990234375</v>
      </c>
      <c r="C705" s="42">
        <v>17662.150390625</v>
      </c>
      <c r="D705" s="289">
        <f t="shared" si="20"/>
        <v>7.4798628016761802E-4</v>
      </c>
      <c r="E705" s="289">
        <f t="shared" si="21"/>
        <v>5.442756652713902E-3</v>
      </c>
      <c r="F705" s="14"/>
      <c r="G705" s="14"/>
    </row>
    <row r="706" spans="1:7" ht="14.25" customHeight="1" x14ac:dyDescent="0.3">
      <c r="A706" s="41">
        <v>44958</v>
      </c>
      <c r="B706" s="42">
        <v>2145.55004882813</v>
      </c>
      <c r="C706" s="42">
        <v>17616.30078125</v>
      </c>
      <c r="D706" s="289">
        <f t="shared" si="20"/>
        <v>-2.5959245256645981E-3</v>
      </c>
      <c r="E706" s="289">
        <f t="shared" si="21"/>
        <v>9.9558216233422182E-3</v>
      </c>
      <c r="F706" s="14"/>
      <c r="G706" s="14"/>
    </row>
    <row r="707" spans="1:7" ht="14.25" customHeight="1" x14ac:dyDescent="0.3">
      <c r="A707" s="41">
        <v>44959</v>
      </c>
      <c r="B707" s="42">
        <v>2144.89990234375</v>
      </c>
      <c r="C707" s="42">
        <v>17610.400390625</v>
      </c>
      <c r="D707" s="289">
        <f t="shared" ref="D707:D770" si="22">(C707-C706)/C706</f>
        <v>-3.3493925304000889E-4</v>
      </c>
      <c r="E707" s="289">
        <f t="shared" ref="E707:E770" si="23">(B707-B706)/B706</f>
        <v>-3.0302088955468705E-4</v>
      </c>
      <c r="F707" s="14"/>
      <c r="G707" s="14"/>
    </row>
    <row r="708" spans="1:7" ht="14.25" customHeight="1" x14ac:dyDescent="0.3">
      <c r="A708" s="41">
        <v>44960</v>
      </c>
      <c r="B708" s="42">
        <v>2166.55004882813</v>
      </c>
      <c r="C708" s="42">
        <v>17854.05078125</v>
      </c>
      <c r="D708" s="289">
        <f t="shared" si="22"/>
        <v>1.3835596307890234E-2</v>
      </c>
      <c r="E708" s="289">
        <f t="shared" si="23"/>
        <v>1.0093779416336728E-2</v>
      </c>
      <c r="F708" s="14"/>
      <c r="G708" s="14"/>
    </row>
    <row r="709" spans="1:7" ht="14.25" customHeight="1" x14ac:dyDescent="0.3">
      <c r="A709" s="41">
        <v>44963</v>
      </c>
      <c r="B709" s="42">
        <v>2156.10009765625</v>
      </c>
      <c r="C709" s="42">
        <v>17764.599609375</v>
      </c>
      <c r="D709" s="289">
        <f t="shared" si="22"/>
        <v>-5.0101331608701366E-3</v>
      </c>
      <c r="E709" s="289">
        <f t="shared" si="23"/>
        <v>-4.8233139952304814E-3</v>
      </c>
      <c r="F709" s="14"/>
      <c r="G709" s="14"/>
    </row>
    <row r="710" spans="1:7" ht="14.25" customHeight="1" x14ac:dyDescent="0.3">
      <c r="A710" s="41">
        <v>44964</v>
      </c>
      <c r="B710" s="42">
        <v>2165.30004882813</v>
      </c>
      <c r="C710" s="42">
        <v>17721.5</v>
      </c>
      <c r="D710" s="289">
        <f t="shared" si="22"/>
        <v>-2.4261514654264895E-3</v>
      </c>
      <c r="E710" s="289">
        <f t="shared" si="23"/>
        <v>4.2669406591468754E-3</v>
      </c>
      <c r="F710" s="14"/>
      <c r="G710" s="14"/>
    </row>
    <row r="711" spans="1:7" ht="14.25" customHeight="1" x14ac:dyDescent="0.3">
      <c r="A711" s="41">
        <v>44965</v>
      </c>
      <c r="B711" s="42">
        <v>2130.85009765625</v>
      </c>
      <c r="C711" s="42">
        <v>17871.69921875</v>
      </c>
      <c r="D711" s="289">
        <f t="shared" si="22"/>
        <v>8.4755364246818839E-3</v>
      </c>
      <c r="E711" s="289">
        <f t="shared" si="23"/>
        <v>-1.5910012651837543E-2</v>
      </c>
      <c r="F711" s="14"/>
      <c r="G711" s="14"/>
    </row>
    <row r="712" spans="1:7" ht="14.25" customHeight="1" x14ac:dyDescent="0.3">
      <c r="A712" s="41">
        <v>44966</v>
      </c>
      <c r="B712" s="42">
        <v>2147.39990234375</v>
      </c>
      <c r="C712" s="42">
        <v>17893.44921875</v>
      </c>
      <c r="D712" s="289">
        <f t="shared" si="22"/>
        <v>1.2170079483645908E-3</v>
      </c>
      <c r="E712" s="289">
        <f t="shared" si="23"/>
        <v>7.7667615876421091E-3</v>
      </c>
      <c r="F712" s="14"/>
      <c r="G712" s="14"/>
    </row>
    <row r="713" spans="1:7" ht="14.25" customHeight="1" x14ac:dyDescent="0.3">
      <c r="A713" s="41">
        <v>44967</v>
      </c>
      <c r="B713" s="42">
        <v>2163.85009765625</v>
      </c>
      <c r="C713" s="42">
        <v>17856.5</v>
      </c>
      <c r="D713" s="289">
        <f t="shared" si="22"/>
        <v>-2.0649578680046795E-3</v>
      </c>
      <c r="E713" s="289">
        <f t="shared" si="23"/>
        <v>7.6605178637410114E-3</v>
      </c>
      <c r="F713" s="14"/>
      <c r="G713" s="14"/>
    </row>
    <row r="714" spans="1:7" ht="14.25" customHeight="1" x14ac:dyDescent="0.3">
      <c r="A714" s="41">
        <v>44970</v>
      </c>
      <c r="B714" s="42">
        <v>2203.30004882813</v>
      </c>
      <c r="C714" s="42">
        <v>17770.900390625</v>
      </c>
      <c r="D714" s="289">
        <f t="shared" si="22"/>
        <v>-4.7937507000252013E-3</v>
      </c>
      <c r="E714" s="289">
        <f t="shared" si="23"/>
        <v>1.8231369730560252E-2</v>
      </c>
      <c r="F714" s="14"/>
      <c r="G714" s="14"/>
    </row>
    <row r="715" spans="1:7" ht="14.25" customHeight="1" x14ac:dyDescent="0.3">
      <c r="A715" s="41">
        <v>44971</v>
      </c>
      <c r="B715" s="42">
        <v>2191.64990234375</v>
      </c>
      <c r="C715" s="42">
        <v>17929.849609375</v>
      </c>
      <c r="D715" s="289">
        <f t="shared" si="22"/>
        <v>8.944353704995911E-3</v>
      </c>
      <c r="E715" s="289">
        <f t="shared" si="23"/>
        <v>-5.2875896274664769E-3</v>
      </c>
      <c r="F715" s="14"/>
      <c r="G715" s="14"/>
    </row>
    <row r="716" spans="1:7" ht="14.25" customHeight="1" x14ac:dyDescent="0.3">
      <c r="A716" s="41">
        <v>44972</v>
      </c>
      <c r="B716" s="42">
        <v>2175.05004882813</v>
      </c>
      <c r="C716" s="42">
        <v>18015.849609375</v>
      </c>
      <c r="D716" s="289">
        <f t="shared" si="22"/>
        <v>4.796470794436172E-3</v>
      </c>
      <c r="E716" s="289">
        <f t="shared" si="23"/>
        <v>-7.5741355851900059E-3</v>
      </c>
      <c r="F716" s="14"/>
      <c r="G716" s="14"/>
    </row>
    <row r="717" spans="1:7" ht="14.25" customHeight="1" x14ac:dyDescent="0.3">
      <c r="A717" s="41">
        <v>44973</v>
      </c>
      <c r="B717" s="42">
        <v>2178.30004882813</v>
      </c>
      <c r="C717" s="42">
        <v>18035.849609375</v>
      </c>
      <c r="D717" s="289">
        <f t="shared" si="22"/>
        <v>1.110133600892877E-3</v>
      </c>
      <c r="E717" s="289">
        <f t="shared" si="23"/>
        <v>1.4942184901680904E-3</v>
      </c>
      <c r="F717" s="14"/>
      <c r="G717" s="14"/>
    </row>
    <row r="718" spans="1:7" ht="14.25" customHeight="1" x14ac:dyDescent="0.3">
      <c r="A718" s="41">
        <v>44974</v>
      </c>
      <c r="B718" s="42">
        <v>2226.35009765625</v>
      </c>
      <c r="C718" s="42">
        <v>17944.19921875</v>
      </c>
      <c r="D718" s="289">
        <f t="shared" si="22"/>
        <v>-5.0815676893513411E-3</v>
      </c>
      <c r="E718" s="289">
        <f t="shared" si="23"/>
        <v>2.2058507896545152E-2</v>
      </c>
      <c r="F718" s="14"/>
      <c r="G718" s="14"/>
    </row>
    <row r="719" spans="1:7" ht="14.25" customHeight="1" x14ac:dyDescent="0.3">
      <c r="A719" s="41">
        <v>44977</v>
      </c>
      <c r="B719" s="42">
        <v>2225.5</v>
      </c>
      <c r="C719" s="42">
        <v>17844.599609375</v>
      </c>
      <c r="D719" s="289">
        <f t="shared" si="22"/>
        <v>-5.5505184801408012E-3</v>
      </c>
      <c r="E719" s="289">
        <f t="shared" si="23"/>
        <v>-3.818346706319572E-4</v>
      </c>
      <c r="F719" s="14"/>
      <c r="G719" s="14"/>
    </row>
    <row r="720" spans="1:7" ht="14.25" customHeight="1" x14ac:dyDescent="0.3">
      <c r="A720" s="41">
        <v>44978</v>
      </c>
      <c r="B720" s="42">
        <v>2229.44995117188</v>
      </c>
      <c r="C720" s="42">
        <v>17826.69921875</v>
      </c>
      <c r="D720" s="289">
        <f t="shared" si="22"/>
        <v>-1.0031264929920697E-3</v>
      </c>
      <c r="E720" s="289">
        <f t="shared" si="23"/>
        <v>1.7748601086856896E-3</v>
      </c>
      <c r="F720" s="14"/>
      <c r="G720" s="14"/>
    </row>
    <row r="721" spans="1:7" ht="14.25" customHeight="1" x14ac:dyDescent="0.3">
      <c r="A721" s="41">
        <v>44979</v>
      </c>
      <c r="B721" s="42">
        <v>2194.75</v>
      </c>
      <c r="C721" s="42">
        <v>17554.30078125</v>
      </c>
      <c r="D721" s="289">
        <f t="shared" si="22"/>
        <v>-1.5280363131582609E-2</v>
      </c>
      <c r="E721" s="289">
        <f t="shared" si="23"/>
        <v>-1.5564355303710874E-2</v>
      </c>
      <c r="F721" s="14"/>
      <c r="G721" s="14"/>
    </row>
    <row r="722" spans="1:7" ht="14.25" customHeight="1" x14ac:dyDescent="0.3">
      <c r="A722" s="41">
        <v>44980</v>
      </c>
      <c r="B722" s="42">
        <v>2159.14990234375</v>
      </c>
      <c r="C722" s="42">
        <v>17511.25</v>
      </c>
      <c r="D722" s="289">
        <f t="shared" si="22"/>
        <v>-2.4524349779846064E-3</v>
      </c>
      <c r="E722" s="289">
        <f t="shared" si="23"/>
        <v>-1.6220570751224513E-2</v>
      </c>
      <c r="F722" s="14"/>
      <c r="G722" s="14"/>
    </row>
    <row r="723" spans="1:7" ht="14.25" customHeight="1" x14ac:dyDescent="0.3">
      <c r="A723" s="41">
        <v>44981</v>
      </c>
      <c r="B723" s="42">
        <v>2134.05004882813</v>
      </c>
      <c r="C723" s="42">
        <v>17465.80078125</v>
      </c>
      <c r="D723" s="289">
        <f t="shared" si="22"/>
        <v>-2.5954297237490184E-3</v>
      </c>
      <c r="E723" s="289">
        <f t="shared" si="23"/>
        <v>-1.1624877683746825E-2</v>
      </c>
      <c r="F723" s="14"/>
      <c r="G723" s="14"/>
    </row>
    <row r="724" spans="1:7" ht="14.25" customHeight="1" x14ac:dyDescent="0.3">
      <c r="A724" s="41">
        <v>44984</v>
      </c>
      <c r="B724" s="42">
        <v>2113.69995117188</v>
      </c>
      <c r="C724" s="42">
        <v>17392.69921875</v>
      </c>
      <c r="D724" s="289">
        <f t="shared" si="22"/>
        <v>-4.1854114458053631E-3</v>
      </c>
      <c r="E724" s="289">
        <f t="shared" si="23"/>
        <v>-9.5359045901593741E-3</v>
      </c>
      <c r="F724" s="14"/>
      <c r="G724" s="14"/>
    </row>
    <row r="725" spans="1:7" ht="14.25" customHeight="1" x14ac:dyDescent="0.3">
      <c r="A725" s="41">
        <v>44985</v>
      </c>
      <c r="B725" s="42">
        <v>2109.14990234375</v>
      </c>
      <c r="C725" s="42">
        <v>17303.94921875</v>
      </c>
      <c r="D725" s="289">
        <f t="shared" si="22"/>
        <v>-5.1027157362857215E-3</v>
      </c>
      <c r="E725" s="289">
        <f t="shared" si="23"/>
        <v>-2.1526465123904454E-3</v>
      </c>
      <c r="F725" s="14"/>
      <c r="G725" s="14"/>
    </row>
    <row r="726" spans="1:7" ht="14.25" customHeight="1" x14ac:dyDescent="0.3">
      <c r="A726" s="41">
        <v>44986</v>
      </c>
      <c r="B726" s="42">
        <v>2115.30004882813</v>
      </c>
      <c r="C726" s="42">
        <v>17450.900390625</v>
      </c>
      <c r="D726" s="289">
        <f t="shared" si="22"/>
        <v>8.4923487706360379E-3</v>
      </c>
      <c r="E726" s="289">
        <f t="shared" si="23"/>
        <v>2.9159361681906897E-3</v>
      </c>
      <c r="F726" s="14"/>
      <c r="G726" s="14"/>
    </row>
    <row r="727" spans="1:7" ht="14.25" customHeight="1" x14ac:dyDescent="0.3">
      <c r="A727" s="41">
        <v>44987</v>
      </c>
      <c r="B727" s="42">
        <v>2121.60009765625</v>
      </c>
      <c r="C727" s="42">
        <v>17321.900390625</v>
      </c>
      <c r="D727" s="289">
        <f t="shared" si="22"/>
        <v>-7.3921687198043708E-3</v>
      </c>
      <c r="E727" s="289">
        <f t="shared" si="23"/>
        <v>2.9783239647775766E-3</v>
      </c>
      <c r="F727" s="14"/>
      <c r="G727" s="14"/>
    </row>
    <row r="728" spans="1:7" ht="14.25" customHeight="1" x14ac:dyDescent="0.3">
      <c r="A728" s="41">
        <v>44988</v>
      </c>
      <c r="B728" s="42">
        <v>2152.05004882813</v>
      </c>
      <c r="C728" s="42">
        <v>17594.349609375</v>
      </c>
      <c r="D728" s="289">
        <f t="shared" si="22"/>
        <v>1.5728598629827915E-2</v>
      </c>
      <c r="E728" s="289">
        <f t="shared" si="23"/>
        <v>1.435235189021641E-2</v>
      </c>
      <c r="F728" s="14"/>
      <c r="G728" s="14"/>
    </row>
    <row r="729" spans="1:7" ht="14.25" customHeight="1" x14ac:dyDescent="0.3">
      <c r="A729" s="41">
        <v>44991</v>
      </c>
      <c r="B729" s="42">
        <v>2141.14990234375</v>
      </c>
      <c r="C729" s="42">
        <v>17711.44921875</v>
      </c>
      <c r="D729" s="289">
        <f t="shared" si="22"/>
        <v>6.6555236183669141E-3</v>
      </c>
      <c r="E729" s="289">
        <f t="shared" si="23"/>
        <v>-5.0650060347413994E-3</v>
      </c>
      <c r="F729" s="14"/>
      <c r="G729" s="14"/>
    </row>
    <row r="730" spans="1:7" ht="14.25" customHeight="1" x14ac:dyDescent="0.3">
      <c r="A730" s="41">
        <v>44993</v>
      </c>
      <c r="B730" s="42">
        <v>2170.80004882813</v>
      </c>
      <c r="C730" s="42">
        <v>17754.400390625</v>
      </c>
      <c r="D730" s="289">
        <f t="shared" si="22"/>
        <v>2.4250512391459354E-3</v>
      </c>
      <c r="E730" s="289">
        <f t="shared" si="23"/>
        <v>1.3847767712071114E-2</v>
      </c>
      <c r="F730" s="14"/>
      <c r="G730" s="14"/>
    </row>
    <row r="731" spans="1:7" ht="14.25" customHeight="1" x14ac:dyDescent="0.3">
      <c r="A731" s="41">
        <v>44994</v>
      </c>
      <c r="B731" s="42">
        <v>2193.19995117188</v>
      </c>
      <c r="C731" s="42">
        <v>17589.599609375</v>
      </c>
      <c r="D731" s="289">
        <f t="shared" si="22"/>
        <v>-9.2822498999752812E-3</v>
      </c>
      <c r="E731" s="289">
        <f t="shared" si="23"/>
        <v>1.0318731269534571E-2</v>
      </c>
      <c r="F731" s="14"/>
      <c r="G731" s="14"/>
    </row>
    <row r="732" spans="1:7" ht="14.25" customHeight="1" x14ac:dyDescent="0.3">
      <c r="A732" s="41">
        <v>44995</v>
      </c>
      <c r="B732" s="42">
        <v>2157.85009765625</v>
      </c>
      <c r="C732" s="42">
        <v>17412.900390625</v>
      </c>
      <c r="D732" s="289">
        <f t="shared" si="22"/>
        <v>-1.0045664635585105E-2</v>
      </c>
      <c r="E732" s="289">
        <f t="shared" si="23"/>
        <v>-1.6117934662884574E-2</v>
      </c>
      <c r="F732" s="14"/>
      <c r="G732" s="14"/>
    </row>
    <row r="733" spans="1:7" ht="14.25" customHeight="1" x14ac:dyDescent="0.3">
      <c r="A733" s="41">
        <v>44998</v>
      </c>
      <c r="B733" s="42">
        <v>2133.85009765625</v>
      </c>
      <c r="C733" s="42">
        <v>17154.30078125</v>
      </c>
      <c r="D733" s="289">
        <f t="shared" si="22"/>
        <v>-1.4851035931626214E-2</v>
      </c>
      <c r="E733" s="289">
        <f t="shared" si="23"/>
        <v>-1.1122181297981548E-2</v>
      </c>
      <c r="F733" s="14"/>
      <c r="G733" s="14"/>
    </row>
    <row r="734" spans="1:7" ht="14.25" customHeight="1" x14ac:dyDescent="0.3">
      <c r="A734" s="41">
        <v>44999</v>
      </c>
      <c r="B734" s="42">
        <v>2144.19995117188</v>
      </c>
      <c r="C734" s="42">
        <v>17043.30078125</v>
      </c>
      <c r="D734" s="289">
        <f t="shared" si="22"/>
        <v>-6.470680525861203E-3</v>
      </c>
      <c r="E734" s="289">
        <f t="shared" si="23"/>
        <v>4.8503189268064972E-3</v>
      </c>
      <c r="F734" s="14"/>
      <c r="G734" s="14"/>
    </row>
    <row r="735" spans="1:7" ht="14.25" customHeight="1" x14ac:dyDescent="0.3">
      <c r="A735" s="41">
        <v>45000</v>
      </c>
      <c r="B735" s="42">
        <v>2176.64990234375</v>
      </c>
      <c r="C735" s="42">
        <v>16972.150390625</v>
      </c>
      <c r="D735" s="289">
        <f t="shared" si="22"/>
        <v>-4.1746837386848982E-3</v>
      </c>
      <c r="E735" s="289">
        <f t="shared" si="23"/>
        <v>1.5133827026782166E-2</v>
      </c>
      <c r="F735" s="14"/>
      <c r="G735" s="14"/>
    </row>
    <row r="736" spans="1:7" ht="14.25" customHeight="1" x14ac:dyDescent="0.3">
      <c r="A736" s="41">
        <v>45001</v>
      </c>
      <c r="B736" s="42">
        <v>2173.60009765625</v>
      </c>
      <c r="C736" s="42">
        <v>16985.599609375</v>
      </c>
      <c r="D736" s="289">
        <f t="shared" si="22"/>
        <v>7.9242868113100259E-4</v>
      </c>
      <c r="E736" s="289">
        <f t="shared" si="23"/>
        <v>-1.4011461761563326E-3</v>
      </c>
      <c r="F736" s="14"/>
      <c r="G736" s="14"/>
    </row>
    <row r="737" spans="1:7" ht="14.25" customHeight="1" x14ac:dyDescent="0.3">
      <c r="A737" s="41">
        <v>45002</v>
      </c>
      <c r="B737" s="42">
        <v>2195.75</v>
      </c>
      <c r="C737" s="42">
        <v>17100.05078125</v>
      </c>
      <c r="D737" s="289">
        <f t="shared" si="22"/>
        <v>6.7381296219787279E-3</v>
      </c>
      <c r="E737" s="289">
        <f t="shared" si="23"/>
        <v>1.0190422041126057E-2</v>
      </c>
      <c r="F737" s="14"/>
      <c r="G737" s="14"/>
    </row>
    <row r="738" spans="1:7" ht="14.25" customHeight="1" x14ac:dyDescent="0.3">
      <c r="A738" s="41">
        <v>45005</v>
      </c>
      <c r="B738" s="42">
        <v>2177.55004882813</v>
      </c>
      <c r="C738" s="42">
        <v>16988.400390625</v>
      </c>
      <c r="D738" s="289">
        <f t="shared" si="22"/>
        <v>-6.5292432199922654E-3</v>
      </c>
      <c r="E738" s="289">
        <f t="shared" si="23"/>
        <v>-8.2887173730479321E-3</v>
      </c>
      <c r="F738" s="14"/>
      <c r="G738" s="14"/>
    </row>
    <row r="739" spans="1:7" ht="14.25" customHeight="1" x14ac:dyDescent="0.3">
      <c r="A739" s="41">
        <v>45006</v>
      </c>
      <c r="B739" s="42">
        <v>2208.44995117188</v>
      </c>
      <c r="C739" s="42">
        <v>17107.5</v>
      </c>
      <c r="D739" s="289">
        <f t="shared" si="22"/>
        <v>7.0106429467441077E-3</v>
      </c>
      <c r="E739" s="289">
        <f t="shared" si="23"/>
        <v>1.4190214530489936E-2</v>
      </c>
      <c r="F739" s="14"/>
      <c r="G739" s="14"/>
    </row>
    <row r="740" spans="1:7" ht="14.25" customHeight="1" x14ac:dyDescent="0.3">
      <c r="A740" s="41">
        <v>45007</v>
      </c>
      <c r="B740" s="42">
        <v>2213.94995117188</v>
      </c>
      <c r="C740" s="42">
        <v>17151.900390625</v>
      </c>
      <c r="D740" s="289">
        <f t="shared" si="22"/>
        <v>2.5953757489405233E-3</v>
      </c>
      <c r="E740" s="289">
        <f t="shared" si="23"/>
        <v>2.4904345226757388E-3</v>
      </c>
      <c r="F740" s="14"/>
      <c r="G740" s="14"/>
    </row>
    <row r="741" spans="1:7" ht="14.25" customHeight="1" x14ac:dyDescent="0.3">
      <c r="A741" s="41">
        <v>45008</v>
      </c>
      <c r="B741" s="42">
        <v>2206.64990234375</v>
      </c>
      <c r="C741" s="42">
        <v>17076.900390625</v>
      </c>
      <c r="D741" s="289">
        <f t="shared" si="22"/>
        <v>-4.3726933046436068E-3</v>
      </c>
      <c r="E741" s="289">
        <f t="shared" si="23"/>
        <v>-3.2972962303262398E-3</v>
      </c>
      <c r="F741" s="14"/>
      <c r="G741" s="14"/>
    </row>
    <row r="742" spans="1:7" ht="14.25" customHeight="1" x14ac:dyDescent="0.3">
      <c r="A742" s="41">
        <v>45009</v>
      </c>
      <c r="B742" s="42">
        <v>2166.14990234375</v>
      </c>
      <c r="C742" s="42">
        <v>16945.05078125</v>
      </c>
      <c r="D742" s="289">
        <f t="shared" si="22"/>
        <v>-7.7209333285906939E-3</v>
      </c>
      <c r="E742" s="289">
        <f t="shared" si="23"/>
        <v>-1.8353613754943054E-2</v>
      </c>
      <c r="F742" s="14"/>
      <c r="G742" s="14"/>
    </row>
    <row r="743" spans="1:7" ht="14.25" customHeight="1" x14ac:dyDescent="0.3">
      <c r="A743" s="41">
        <v>45012</v>
      </c>
      <c r="B743" s="42">
        <v>2154</v>
      </c>
      <c r="C743" s="42">
        <v>16985.69921875</v>
      </c>
      <c r="D743" s="289">
        <f t="shared" si="22"/>
        <v>2.3988383407489234E-3</v>
      </c>
      <c r="E743" s="289">
        <f t="shared" si="23"/>
        <v>-5.6089850155817663E-3</v>
      </c>
      <c r="F743" s="14"/>
      <c r="G743" s="14"/>
    </row>
    <row r="744" spans="1:7" ht="14.25" customHeight="1" x14ac:dyDescent="0.3">
      <c r="A744" s="41">
        <v>45013</v>
      </c>
      <c r="B744" s="42">
        <v>2133.60009765625</v>
      </c>
      <c r="C744" s="42">
        <v>16951.69921875</v>
      </c>
      <c r="D744" s="289">
        <f t="shared" si="22"/>
        <v>-2.0016838613548761E-3</v>
      </c>
      <c r="E744" s="289">
        <f t="shared" si="23"/>
        <v>-9.470706751973073E-3</v>
      </c>
      <c r="F744" s="14"/>
      <c r="G744" s="14"/>
    </row>
    <row r="745" spans="1:7" ht="14.25" customHeight="1" x14ac:dyDescent="0.3">
      <c r="A745" s="41">
        <v>45014</v>
      </c>
      <c r="B745" s="42">
        <v>2147.44995117188</v>
      </c>
      <c r="C745" s="42">
        <v>17080.69921875</v>
      </c>
      <c r="D745" s="289">
        <f t="shared" si="22"/>
        <v>7.6098565893214518E-3</v>
      </c>
      <c r="E745" s="289">
        <f t="shared" si="23"/>
        <v>6.4913071249124909E-3</v>
      </c>
      <c r="F745" s="14"/>
      <c r="G745" s="14"/>
    </row>
    <row r="746" spans="1:7" ht="14.25" customHeight="1" x14ac:dyDescent="0.3">
      <c r="A746" s="41">
        <v>45016</v>
      </c>
      <c r="B746" s="42">
        <v>2164.19995117188</v>
      </c>
      <c r="C746" s="42">
        <v>17359.75</v>
      </c>
      <c r="D746" s="289">
        <f t="shared" si="22"/>
        <v>1.6337198944623856E-2</v>
      </c>
      <c r="E746" s="289">
        <f t="shared" si="23"/>
        <v>7.7999489538088636E-3</v>
      </c>
      <c r="F746" s="14"/>
      <c r="G746" s="14"/>
    </row>
    <row r="747" spans="1:7" ht="14.25" customHeight="1" x14ac:dyDescent="0.3">
      <c r="A747" s="41">
        <v>45019</v>
      </c>
      <c r="B747" s="42">
        <v>2170.14990234375</v>
      </c>
      <c r="C747" s="42">
        <v>17398.05078125</v>
      </c>
      <c r="D747" s="289">
        <f t="shared" si="22"/>
        <v>2.2062979737611428E-3</v>
      </c>
      <c r="E747" s="289">
        <f t="shared" si="23"/>
        <v>2.7492613003009233E-3</v>
      </c>
      <c r="F747" s="14"/>
      <c r="G747" s="14"/>
    </row>
    <row r="748" spans="1:7" ht="14.25" customHeight="1" x14ac:dyDescent="0.3">
      <c r="A748" s="41">
        <v>45021</v>
      </c>
      <c r="B748" s="42">
        <v>2257.75</v>
      </c>
      <c r="C748" s="42">
        <v>17557.05078125</v>
      </c>
      <c r="D748" s="289">
        <f t="shared" si="22"/>
        <v>9.1389548173612303E-3</v>
      </c>
      <c r="E748" s="289">
        <f t="shared" si="23"/>
        <v>4.0365920142955272E-2</v>
      </c>
      <c r="F748" s="14"/>
      <c r="G748" s="14"/>
    </row>
    <row r="749" spans="1:7" ht="14.25" customHeight="1" x14ac:dyDescent="0.3">
      <c r="A749" s="41">
        <v>45022</v>
      </c>
      <c r="B749" s="42">
        <v>2274.25</v>
      </c>
      <c r="C749" s="42">
        <v>17599.150390625</v>
      </c>
      <c r="D749" s="289">
        <f t="shared" si="22"/>
        <v>2.3978747854372074E-3</v>
      </c>
      <c r="E749" s="289">
        <f t="shared" si="23"/>
        <v>7.3081607795371494E-3</v>
      </c>
      <c r="F749" s="14"/>
      <c r="G749" s="14"/>
    </row>
    <row r="750" spans="1:7" ht="14.25" customHeight="1" x14ac:dyDescent="0.3">
      <c r="A750" s="41">
        <v>45026</v>
      </c>
      <c r="B750" s="42">
        <v>2309.69995117188</v>
      </c>
      <c r="C750" s="42">
        <v>17624.05078125</v>
      </c>
      <c r="D750" s="289">
        <f t="shared" si="22"/>
        <v>1.4148632219350965E-3</v>
      </c>
      <c r="E750" s="289">
        <f t="shared" si="23"/>
        <v>1.5587534867266132E-2</v>
      </c>
      <c r="F750" s="14"/>
      <c r="G750" s="14"/>
    </row>
    <row r="751" spans="1:7" ht="14.25" customHeight="1" x14ac:dyDescent="0.3">
      <c r="A751" s="41">
        <v>45027</v>
      </c>
      <c r="B751" s="42">
        <v>2301.5</v>
      </c>
      <c r="C751" s="42">
        <v>17722.30078125</v>
      </c>
      <c r="D751" s="289">
        <f t="shared" si="22"/>
        <v>5.574768321964148E-3</v>
      </c>
      <c r="E751" s="289">
        <f t="shared" si="23"/>
        <v>-3.5502235551070458E-3</v>
      </c>
      <c r="F751" s="14"/>
      <c r="G751" s="14"/>
    </row>
    <row r="752" spans="1:7" ht="14.25" customHeight="1" x14ac:dyDescent="0.3">
      <c r="A752" s="41">
        <v>45028</v>
      </c>
      <c r="B752" s="42">
        <v>2288.5</v>
      </c>
      <c r="C752" s="42">
        <v>17812.400390625</v>
      </c>
      <c r="D752" s="289">
        <f t="shared" si="22"/>
        <v>5.0839679614468796E-3</v>
      </c>
      <c r="E752" s="289">
        <f t="shared" si="23"/>
        <v>-5.6484901151422984E-3</v>
      </c>
      <c r="F752" s="14"/>
      <c r="G752" s="14"/>
    </row>
    <row r="753" spans="1:7" ht="14.25" customHeight="1" x14ac:dyDescent="0.3">
      <c r="A753" s="41">
        <v>45029</v>
      </c>
      <c r="B753" s="42">
        <v>2258.75</v>
      </c>
      <c r="C753" s="42">
        <v>17828</v>
      </c>
      <c r="D753" s="289">
        <f t="shared" si="22"/>
        <v>8.7577244127132723E-4</v>
      </c>
      <c r="E753" s="289">
        <f t="shared" si="23"/>
        <v>-1.2999781516277037E-2</v>
      </c>
      <c r="F753" s="14"/>
      <c r="G753" s="14"/>
    </row>
    <row r="754" spans="1:7" ht="14.25" customHeight="1" x14ac:dyDescent="0.3">
      <c r="A754" s="41">
        <v>45033</v>
      </c>
      <c r="B754" s="42">
        <v>2214</v>
      </c>
      <c r="C754" s="42">
        <v>17706.849609375</v>
      </c>
      <c r="D754" s="289">
        <f t="shared" si="22"/>
        <v>-6.7955121508301549E-3</v>
      </c>
      <c r="E754" s="289">
        <f t="shared" si="23"/>
        <v>-1.9811842833425568E-2</v>
      </c>
      <c r="F754" s="14"/>
      <c r="G754" s="14"/>
    </row>
    <row r="755" spans="1:7" ht="14.25" customHeight="1" x14ac:dyDescent="0.3">
      <c r="A755" s="41">
        <v>45034</v>
      </c>
      <c r="B755" s="42">
        <v>2216.60009765625</v>
      </c>
      <c r="C755" s="42">
        <v>17660.150390625</v>
      </c>
      <c r="D755" s="289">
        <f t="shared" si="22"/>
        <v>-2.6373533282439362E-3</v>
      </c>
      <c r="E755" s="289">
        <f t="shared" si="23"/>
        <v>1.1743891852981029E-3</v>
      </c>
      <c r="F755" s="14"/>
      <c r="G755" s="14"/>
    </row>
    <row r="756" spans="1:7" ht="14.25" customHeight="1" x14ac:dyDescent="0.3">
      <c r="A756" s="41">
        <v>45035</v>
      </c>
      <c r="B756" s="42">
        <v>2219.60009765625</v>
      </c>
      <c r="C756" s="42">
        <v>17618.75</v>
      </c>
      <c r="D756" s="289">
        <f t="shared" si="22"/>
        <v>-2.3442830162407708E-3</v>
      </c>
      <c r="E756" s="289">
        <f t="shared" si="23"/>
        <v>1.353424103505223E-3</v>
      </c>
      <c r="F756" s="14"/>
      <c r="G756" s="14"/>
    </row>
    <row r="757" spans="1:7" ht="14.25" customHeight="1" x14ac:dyDescent="0.3">
      <c r="A757" s="41">
        <v>45036</v>
      </c>
      <c r="B757" s="42">
        <v>2232.75</v>
      </c>
      <c r="C757" s="42">
        <v>17624.44921875</v>
      </c>
      <c r="D757" s="289">
        <f t="shared" si="22"/>
        <v>3.2347463639588507E-4</v>
      </c>
      <c r="E757" s="289">
        <f t="shared" si="23"/>
        <v>5.9244466413726606E-3</v>
      </c>
      <c r="F757" s="14"/>
      <c r="G757" s="14"/>
    </row>
    <row r="758" spans="1:7" ht="14.25" customHeight="1" x14ac:dyDescent="0.3">
      <c r="A758" s="41">
        <v>45037</v>
      </c>
      <c r="B758" s="42">
        <v>2215.19995117188</v>
      </c>
      <c r="C758" s="42">
        <v>17624.05078125</v>
      </c>
      <c r="D758" s="289">
        <f t="shared" si="22"/>
        <v>-2.2607089450268724E-5</v>
      </c>
      <c r="E758" s="289">
        <f t="shared" si="23"/>
        <v>-7.8602838777830017E-3</v>
      </c>
      <c r="F758" s="14"/>
      <c r="G758" s="14"/>
    </row>
    <row r="759" spans="1:7" ht="14.25" customHeight="1" x14ac:dyDescent="0.3">
      <c r="A759" s="41">
        <v>45040</v>
      </c>
      <c r="B759" s="42">
        <v>2228.89990234375</v>
      </c>
      <c r="C759" s="42">
        <v>17743.400390625</v>
      </c>
      <c r="D759" s="289">
        <f t="shared" si="22"/>
        <v>6.7719737565653465E-3</v>
      </c>
      <c r="E759" s="289">
        <f t="shared" si="23"/>
        <v>6.1845212503830547E-3</v>
      </c>
      <c r="F759" s="14"/>
      <c r="G759" s="14"/>
    </row>
    <row r="760" spans="1:7" ht="14.25" customHeight="1" x14ac:dyDescent="0.3">
      <c r="A760" s="41">
        <v>45041</v>
      </c>
      <c r="B760" s="42">
        <v>2247.94995117188</v>
      </c>
      <c r="C760" s="42">
        <v>17769.25</v>
      </c>
      <c r="D760" s="289">
        <f t="shared" si="22"/>
        <v>1.4568576938982925E-3</v>
      </c>
      <c r="E760" s="289">
        <f t="shared" si="23"/>
        <v>8.5468390967662327E-3</v>
      </c>
      <c r="F760" s="14"/>
      <c r="G760" s="14"/>
    </row>
    <row r="761" spans="1:7" ht="14.25" customHeight="1" x14ac:dyDescent="0.3">
      <c r="A761" s="41">
        <v>45042</v>
      </c>
      <c r="B761" s="42">
        <v>2276.14990234375</v>
      </c>
      <c r="C761" s="42">
        <v>17813.599609375</v>
      </c>
      <c r="D761" s="289">
        <f t="shared" si="22"/>
        <v>2.495862761512163E-3</v>
      </c>
      <c r="E761" s="289">
        <f t="shared" si="23"/>
        <v>1.2544741557599656E-2</v>
      </c>
      <c r="F761" s="14"/>
      <c r="G761" s="14"/>
    </row>
    <row r="762" spans="1:7" ht="14.25" customHeight="1" x14ac:dyDescent="0.3">
      <c r="A762" s="41">
        <v>45043</v>
      </c>
      <c r="B762" s="42">
        <v>2305.60009765625</v>
      </c>
      <c r="C762" s="42">
        <v>17915.05078125</v>
      </c>
      <c r="D762" s="289">
        <f t="shared" si="22"/>
        <v>5.6951528101938445E-3</v>
      </c>
      <c r="E762" s="289">
        <f t="shared" si="23"/>
        <v>1.2938600960409134E-2</v>
      </c>
      <c r="F762" s="14"/>
      <c r="G762" s="14"/>
    </row>
    <row r="763" spans="1:7" ht="14.25" customHeight="1" x14ac:dyDescent="0.3">
      <c r="A763" s="41">
        <v>45044</v>
      </c>
      <c r="B763" s="42">
        <v>2364.39990234375</v>
      </c>
      <c r="C763" s="42">
        <v>18065</v>
      </c>
      <c r="D763" s="289">
        <f t="shared" si="22"/>
        <v>8.3700136036978338E-3</v>
      </c>
      <c r="E763" s="289">
        <f t="shared" si="23"/>
        <v>2.5503037038935219E-2</v>
      </c>
      <c r="F763" s="14"/>
      <c r="G763" s="14"/>
    </row>
    <row r="764" spans="1:7" ht="14.25" customHeight="1" x14ac:dyDescent="0.3">
      <c r="A764" s="41">
        <v>45048</v>
      </c>
      <c r="B764" s="42">
        <v>2384.44995117188</v>
      </c>
      <c r="C764" s="42">
        <v>18147.650390625</v>
      </c>
      <c r="D764" s="289">
        <f t="shared" si="22"/>
        <v>4.5751669319125379E-3</v>
      </c>
      <c r="E764" s="289">
        <f t="shared" si="23"/>
        <v>8.4799736323178942E-3</v>
      </c>
      <c r="F764" s="14"/>
      <c r="G764" s="14"/>
    </row>
    <row r="765" spans="1:7" ht="14.25" customHeight="1" x14ac:dyDescent="0.3">
      <c r="A765" s="41">
        <v>45049</v>
      </c>
      <c r="B765" s="42">
        <v>2356.30004882813</v>
      </c>
      <c r="C765" s="42">
        <v>18089.849609375</v>
      </c>
      <c r="D765" s="289">
        <f t="shared" si="22"/>
        <v>-3.18502836487635E-3</v>
      </c>
      <c r="E765" s="289">
        <f t="shared" si="23"/>
        <v>-1.180561677543923E-2</v>
      </c>
      <c r="F765" s="14"/>
      <c r="G765" s="14"/>
    </row>
    <row r="766" spans="1:7" ht="14.25" customHeight="1" x14ac:dyDescent="0.3">
      <c r="A766" s="41">
        <v>45050</v>
      </c>
      <c r="B766" s="42">
        <v>2356.89990234375</v>
      </c>
      <c r="C766" s="42">
        <v>18255.80078125</v>
      </c>
      <c r="D766" s="289">
        <f t="shared" si="22"/>
        <v>9.173717607303733E-3</v>
      </c>
      <c r="E766" s="289">
        <f t="shared" si="23"/>
        <v>2.5457433399380769E-4</v>
      </c>
      <c r="F766" s="14"/>
      <c r="G766" s="14"/>
    </row>
    <row r="767" spans="1:7" ht="14.25" customHeight="1" x14ac:dyDescent="0.3">
      <c r="A767" s="41">
        <v>45051</v>
      </c>
      <c r="B767" s="42">
        <v>2377.5</v>
      </c>
      <c r="C767" s="42">
        <v>18069</v>
      </c>
      <c r="D767" s="289">
        <f t="shared" si="22"/>
        <v>-1.0232406865540384E-2</v>
      </c>
      <c r="E767" s="289">
        <f t="shared" si="23"/>
        <v>8.7403362509221698E-3</v>
      </c>
      <c r="F767" s="14"/>
      <c r="G767" s="14"/>
    </row>
    <row r="768" spans="1:7" ht="14.25" customHeight="1" x14ac:dyDescent="0.3">
      <c r="A768" s="41">
        <v>45054</v>
      </c>
      <c r="B768" s="42">
        <v>2365.39990234375</v>
      </c>
      <c r="C768" s="42">
        <v>18264.400390625</v>
      </c>
      <c r="D768" s="289">
        <f t="shared" si="22"/>
        <v>1.0814123118324201E-2</v>
      </c>
      <c r="E768" s="289">
        <f t="shared" si="23"/>
        <v>-5.0894206756046268E-3</v>
      </c>
      <c r="F768" s="14"/>
      <c r="G768" s="14"/>
    </row>
    <row r="769" spans="1:7" ht="14.25" customHeight="1" x14ac:dyDescent="0.3">
      <c r="A769" s="41">
        <v>45055</v>
      </c>
      <c r="B769" s="42">
        <v>2374.35009765625</v>
      </c>
      <c r="C769" s="42">
        <v>18265.94921875</v>
      </c>
      <c r="D769" s="289">
        <f t="shared" si="22"/>
        <v>8.4800381719347525E-5</v>
      </c>
      <c r="E769" s="289">
        <f t="shared" si="23"/>
        <v>3.7837979546848392E-3</v>
      </c>
      <c r="F769" s="14"/>
      <c r="G769" s="14"/>
    </row>
    <row r="770" spans="1:7" ht="14.25" customHeight="1" x14ac:dyDescent="0.3">
      <c r="A770" s="41">
        <v>45056</v>
      </c>
      <c r="B770" s="42">
        <v>2364.44995117188</v>
      </c>
      <c r="C770" s="42">
        <v>18315.099609375</v>
      </c>
      <c r="D770" s="289">
        <f t="shared" si="22"/>
        <v>2.6908205008337105E-3</v>
      </c>
      <c r="E770" s="289">
        <f t="shared" si="23"/>
        <v>-4.1696237189884312E-3</v>
      </c>
      <c r="F770" s="14"/>
      <c r="G770" s="14"/>
    </row>
    <row r="771" spans="1:7" ht="14.25" customHeight="1" x14ac:dyDescent="0.3">
      <c r="A771" s="41">
        <v>45057</v>
      </c>
      <c r="B771" s="42">
        <v>2242.14990234375</v>
      </c>
      <c r="C771" s="42">
        <v>18297</v>
      </c>
      <c r="D771" s="289">
        <f t="shared" ref="D771:D834" si="24">(C771-C770)/C770</f>
        <v>-9.8823428542727139E-4</v>
      </c>
      <c r="E771" s="289">
        <f t="shared" ref="E771:E834" si="25">(B771-B770)/B770</f>
        <v>-5.1724524246121201E-2</v>
      </c>
      <c r="F771" s="14"/>
      <c r="G771" s="14"/>
    </row>
    <row r="772" spans="1:7" ht="14.25" customHeight="1" x14ac:dyDescent="0.3">
      <c r="A772" s="41">
        <v>45058</v>
      </c>
      <c r="B772" s="42">
        <v>2221.10009765625</v>
      </c>
      <c r="C772" s="42">
        <v>18314.80078125</v>
      </c>
      <c r="D772" s="289">
        <f t="shared" si="24"/>
        <v>9.7287977537301195E-4</v>
      </c>
      <c r="E772" s="289">
        <f t="shared" si="25"/>
        <v>-9.3882236265721355E-3</v>
      </c>
      <c r="F772" s="14"/>
      <c r="G772" s="14"/>
    </row>
    <row r="773" spans="1:7" ht="14.25" customHeight="1" x14ac:dyDescent="0.3">
      <c r="A773" s="41">
        <v>45061</v>
      </c>
      <c r="B773" s="42">
        <v>2246.85009765625</v>
      </c>
      <c r="C773" s="42">
        <v>18398.849609375</v>
      </c>
      <c r="D773" s="289">
        <f t="shared" si="24"/>
        <v>4.589120522186952E-3</v>
      </c>
      <c r="E773" s="289">
        <f t="shared" si="25"/>
        <v>1.1593354134364284E-2</v>
      </c>
      <c r="F773" s="14"/>
      <c r="G773" s="14"/>
    </row>
    <row r="774" spans="1:7" ht="14.25" customHeight="1" x14ac:dyDescent="0.3">
      <c r="A774" s="41">
        <v>45062</v>
      </c>
      <c r="B774" s="42">
        <v>2227.19995117188</v>
      </c>
      <c r="C774" s="42">
        <v>18286.5</v>
      </c>
      <c r="D774" s="289">
        <f t="shared" si="24"/>
        <v>-6.1063388070606911E-3</v>
      </c>
      <c r="E774" s="289">
        <f t="shared" si="25"/>
        <v>-8.7456419566519349E-3</v>
      </c>
      <c r="F774" s="14"/>
      <c r="G774" s="14"/>
    </row>
    <row r="775" spans="1:7" ht="14.25" customHeight="1" x14ac:dyDescent="0.3">
      <c r="A775" s="41">
        <v>45063</v>
      </c>
      <c r="B775" s="42">
        <v>2219.60009765625</v>
      </c>
      <c r="C775" s="42">
        <v>18181.75</v>
      </c>
      <c r="D775" s="289">
        <f t="shared" si="24"/>
        <v>-5.7282694884204198E-3</v>
      </c>
      <c r="E775" s="289">
        <f t="shared" si="25"/>
        <v>-3.4122906260083234E-3</v>
      </c>
      <c r="F775" s="14"/>
      <c r="G775" s="14"/>
    </row>
    <row r="776" spans="1:7" ht="14.25" customHeight="1" x14ac:dyDescent="0.3">
      <c r="A776" s="41">
        <v>45064</v>
      </c>
      <c r="B776" s="42">
        <v>2188.19995117188</v>
      </c>
      <c r="C776" s="42">
        <v>18129.94921875</v>
      </c>
      <c r="D776" s="289">
        <f t="shared" si="24"/>
        <v>-2.8490536527011976E-3</v>
      </c>
      <c r="E776" s="289">
        <f t="shared" si="25"/>
        <v>-1.4146758471278886E-2</v>
      </c>
      <c r="F776" s="14"/>
      <c r="G776" s="14"/>
    </row>
    <row r="777" spans="1:7" ht="14.25" customHeight="1" x14ac:dyDescent="0.3">
      <c r="A777" s="41">
        <v>45065</v>
      </c>
      <c r="B777" s="42">
        <v>2190.05004882813</v>
      </c>
      <c r="C777" s="42">
        <v>18203.400390625</v>
      </c>
      <c r="D777" s="289">
        <f t="shared" si="24"/>
        <v>4.051372179191587E-3</v>
      </c>
      <c r="E777" s="289">
        <f t="shared" si="25"/>
        <v>8.4548839115876459E-4</v>
      </c>
      <c r="F777" s="14"/>
      <c r="G777" s="14"/>
    </row>
    <row r="778" spans="1:7" ht="14.25" customHeight="1" x14ac:dyDescent="0.3">
      <c r="A778" s="41">
        <v>45068</v>
      </c>
      <c r="B778" s="42">
        <v>2216.60009765625</v>
      </c>
      <c r="C778" s="42">
        <v>18314.400390625</v>
      </c>
      <c r="D778" s="289">
        <f t="shared" si="24"/>
        <v>6.0977618257062847E-3</v>
      </c>
      <c r="E778" s="289">
        <f t="shared" si="25"/>
        <v>1.2123032915310139E-2</v>
      </c>
      <c r="F778" s="14"/>
      <c r="G778" s="14"/>
    </row>
    <row r="779" spans="1:7" ht="14.25" customHeight="1" x14ac:dyDescent="0.3">
      <c r="A779" s="41">
        <v>45069</v>
      </c>
      <c r="B779" s="42">
        <v>2197.64990234375</v>
      </c>
      <c r="C779" s="42">
        <v>18348</v>
      </c>
      <c r="D779" s="289">
        <f t="shared" si="24"/>
        <v>1.8346005688616145E-3</v>
      </c>
      <c r="E779" s="289">
        <f t="shared" si="25"/>
        <v>-8.5492170340230635E-3</v>
      </c>
      <c r="F779" s="14"/>
      <c r="G779" s="14"/>
    </row>
    <row r="780" spans="1:7" ht="14.25" customHeight="1" x14ac:dyDescent="0.3">
      <c r="A780" s="41">
        <v>45070</v>
      </c>
      <c r="B780" s="42">
        <v>2185.14990234375</v>
      </c>
      <c r="C780" s="42">
        <v>18285.400390625</v>
      </c>
      <c r="D780" s="289">
        <f t="shared" si="24"/>
        <v>-3.4117947119577064E-3</v>
      </c>
      <c r="E780" s="289">
        <f t="shared" si="25"/>
        <v>-5.6878941394027313E-3</v>
      </c>
      <c r="F780" s="14"/>
      <c r="G780" s="14"/>
    </row>
    <row r="781" spans="1:7" ht="14.25" customHeight="1" x14ac:dyDescent="0.3">
      <c r="A781" s="41">
        <v>45071</v>
      </c>
      <c r="B781" s="42">
        <v>2204.69995117188</v>
      </c>
      <c r="C781" s="42">
        <v>18321.150390625</v>
      </c>
      <c r="D781" s="289">
        <f t="shared" si="24"/>
        <v>1.955111686716424E-3</v>
      </c>
      <c r="E781" s="289">
        <f t="shared" si="25"/>
        <v>8.9467769726740455E-3</v>
      </c>
      <c r="F781" s="14"/>
      <c r="G781" s="14"/>
    </row>
    <row r="782" spans="1:7" ht="14.25" customHeight="1" x14ac:dyDescent="0.3">
      <c r="A782" s="41">
        <v>45072</v>
      </c>
      <c r="B782" s="42">
        <v>2218.44995117188</v>
      </c>
      <c r="C782" s="42">
        <v>18499.349609375</v>
      </c>
      <c r="D782" s="289">
        <f t="shared" si="24"/>
        <v>9.7264208278747162E-3</v>
      </c>
      <c r="E782" s="289">
        <f t="shared" si="25"/>
        <v>6.2366763298975737E-3</v>
      </c>
      <c r="F782" s="14"/>
      <c r="G782" s="14"/>
    </row>
    <row r="783" spans="1:7" ht="14.25" customHeight="1" x14ac:dyDescent="0.3">
      <c r="A783" s="41">
        <v>45075</v>
      </c>
      <c r="B783" s="42">
        <v>2224.55004882813</v>
      </c>
      <c r="C783" s="42">
        <v>18598.650390625</v>
      </c>
      <c r="D783" s="289">
        <f t="shared" si="24"/>
        <v>5.3677985089636282E-3</v>
      </c>
      <c r="E783" s="289">
        <f t="shared" si="25"/>
        <v>2.7497116412419707E-3</v>
      </c>
      <c r="F783" s="14"/>
      <c r="G783" s="14"/>
    </row>
    <row r="784" spans="1:7" ht="14.25" customHeight="1" x14ac:dyDescent="0.3">
      <c r="A784" s="41">
        <v>45076</v>
      </c>
      <c r="B784" s="42">
        <v>2210.80004882813</v>
      </c>
      <c r="C784" s="42">
        <v>18633.849609375</v>
      </c>
      <c r="D784" s="289">
        <f t="shared" si="24"/>
        <v>1.892568439683281E-3</v>
      </c>
      <c r="E784" s="289">
        <f t="shared" si="25"/>
        <v>-6.1810252402472845E-3</v>
      </c>
      <c r="F784" s="14"/>
      <c r="G784" s="14"/>
    </row>
    <row r="785" spans="1:7" ht="14.25" customHeight="1" x14ac:dyDescent="0.3">
      <c r="A785" s="41">
        <v>45077</v>
      </c>
      <c r="B785" s="42">
        <v>2205.64990234375</v>
      </c>
      <c r="C785" s="42">
        <v>18534.400390625</v>
      </c>
      <c r="D785" s="289">
        <f t="shared" si="24"/>
        <v>-5.33701950132545E-3</v>
      </c>
      <c r="E785" s="289">
        <f t="shared" si="25"/>
        <v>-2.3295397008471753E-3</v>
      </c>
      <c r="F785" s="14"/>
      <c r="G785" s="14"/>
    </row>
    <row r="786" spans="1:7" ht="14.25" customHeight="1" x14ac:dyDescent="0.3">
      <c r="A786" s="41">
        <v>45078</v>
      </c>
      <c r="B786" s="42">
        <v>2207.80004882813</v>
      </c>
      <c r="C786" s="42">
        <v>18487.75</v>
      </c>
      <c r="D786" s="289">
        <f t="shared" si="24"/>
        <v>-2.5169624936232909E-3</v>
      </c>
      <c r="E786" s="289">
        <f t="shared" si="25"/>
        <v>9.7483579877986567E-4</v>
      </c>
      <c r="F786" s="14"/>
      <c r="G786" s="14"/>
    </row>
    <row r="787" spans="1:7" ht="14.25" customHeight="1" x14ac:dyDescent="0.3">
      <c r="A787" s="41">
        <v>45079</v>
      </c>
      <c r="B787" s="42">
        <v>2234.55004882813</v>
      </c>
      <c r="C787" s="42">
        <v>18534.099609375</v>
      </c>
      <c r="D787" s="289">
        <f t="shared" si="24"/>
        <v>2.5070443604548959E-3</v>
      </c>
      <c r="E787" s="289">
        <f t="shared" si="25"/>
        <v>1.2116133439800643E-2</v>
      </c>
      <c r="F787" s="14"/>
      <c r="G787" s="14"/>
    </row>
    <row r="788" spans="1:7" ht="14.25" customHeight="1" x14ac:dyDescent="0.3">
      <c r="A788" s="41">
        <v>45082</v>
      </c>
      <c r="B788" s="42">
        <v>2268.30004882813</v>
      </c>
      <c r="C788" s="42">
        <v>18593.849609375</v>
      </c>
      <c r="D788" s="289">
        <f t="shared" si="24"/>
        <v>3.2237875731377309E-3</v>
      </c>
      <c r="E788" s="289">
        <f t="shared" si="25"/>
        <v>1.5103711826772278E-2</v>
      </c>
      <c r="F788" s="14"/>
      <c r="G788" s="14"/>
    </row>
    <row r="789" spans="1:7" ht="14.25" customHeight="1" x14ac:dyDescent="0.3">
      <c r="A789" s="41">
        <v>45083</v>
      </c>
      <c r="B789" s="42">
        <v>2277.94995117188</v>
      </c>
      <c r="C789" s="42">
        <v>18599</v>
      </c>
      <c r="D789" s="289">
        <f t="shared" si="24"/>
        <v>2.7699431442121478E-4</v>
      </c>
      <c r="E789" s="289">
        <f t="shared" si="25"/>
        <v>4.2542442075665524E-3</v>
      </c>
      <c r="F789" s="14"/>
      <c r="G789" s="14"/>
    </row>
    <row r="790" spans="1:7" ht="14.25" customHeight="1" x14ac:dyDescent="0.3">
      <c r="A790" s="41">
        <v>45084</v>
      </c>
      <c r="B790" s="42">
        <v>2315.5</v>
      </c>
      <c r="C790" s="42">
        <v>18726.400390625</v>
      </c>
      <c r="D790" s="289">
        <f t="shared" si="24"/>
        <v>6.8498516385289534E-3</v>
      </c>
      <c r="E790" s="289">
        <f t="shared" si="25"/>
        <v>1.6484141281858523E-2</v>
      </c>
      <c r="F790" s="14"/>
      <c r="G790" s="14"/>
    </row>
    <row r="791" spans="1:7" ht="14.25" customHeight="1" x14ac:dyDescent="0.3">
      <c r="A791" s="41">
        <v>45085</v>
      </c>
      <c r="B791" s="42">
        <v>2340.30004882813</v>
      </c>
      <c r="C791" s="42">
        <v>18634.55078125</v>
      </c>
      <c r="D791" s="289">
        <f t="shared" si="24"/>
        <v>-4.904819263662796E-3</v>
      </c>
      <c r="E791" s="289">
        <f t="shared" si="25"/>
        <v>1.0710450800315267E-2</v>
      </c>
      <c r="F791" s="14"/>
      <c r="G791" s="14"/>
    </row>
    <row r="792" spans="1:7" ht="14.25" customHeight="1" x14ac:dyDescent="0.3">
      <c r="A792" s="41">
        <v>45086</v>
      </c>
      <c r="B792" s="42">
        <v>2363</v>
      </c>
      <c r="C792" s="42">
        <v>18563.400390625</v>
      </c>
      <c r="D792" s="289">
        <f t="shared" si="24"/>
        <v>-3.8181972541345725E-3</v>
      </c>
      <c r="E792" s="289">
        <f t="shared" si="25"/>
        <v>9.6995900945422171E-3</v>
      </c>
      <c r="F792" s="14"/>
      <c r="G792" s="14"/>
    </row>
    <row r="793" spans="1:7" ht="14.25" customHeight="1" x14ac:dyDescent="0.3">
      <c r="A793" s="41">
        <v>45089</v>
      </c>
      <c r="B793" s="42">
        <v>2339.94995117188</v>
      </c>
      <c r="C793" s="42">
        <v>18601.5</v>
      </c>
      <c r="D793" s="289">
        <f t="shared" si="24"/>
        <v>2.0524046550351462E-3</v>
      </c>
      <c r="E793" s="289">
        <f t="shared" si="25"/>
        <v>-9.7545699653491316E-3</v>
      </c>
      <c r="F793" s="14"/>
      <c r="G793" s="14"/>
    </row>
    <row r="794" spans="1:7" ht="14.25" customHeight="1" x14ac:dyDescent="0.3">
      <c r="A794" s="41">
        <v>45090</v>
      </c>
      <c r="B794" s="42">
        <v>2354.39990234375</v>
      </c>
      <c r="C794" s="42">
        <v>18716.150390625</v>
      </c>
      <c r="D794" s="289">
        <f t="shared" si="24"/>
        <v>6.1635024393194094E-3</v>
      </c>
      <c r="E794" s="289">
        <f t="shared" si="25"/>
        <v>6.175324888736726E-3</v>
      </c>
      <c r="F794" s="14"/>
      <c r="G794" s="14"/>
    </row>
    <row r="795" spans="1:7" ht="14.25" customHeight="1" x14ac:dyDescent="0.3">
      <c r="A795" s="41">
        <v>45091</v>
      </c>
      <c r="B795" s="42">
        <v>2355.05004882813</v>
      </c>
      <c r="C795" s="42">
        <v>18755.900390625</v>
      </c>
      <c r="D795" s="289">
        <f t="shared" si="24"/>
        <v>2.1238341844010264E-3</v>
      </c>
      <c r="E795" s="289">
        <f t="shared" si="25"/>
        <v>2.7614105986531711E-4</v>
      </c>
      <c r="F795" s="14"/>
      <c r="G795" s="14"/>
    </row>
    <row r="796" spans="1:7" ht="14.25" customHeight="1" x14ac:dyDescent="0.3">
      <c r="A796" s="41">
        <v>45092</v>
      </c>
      <c r="B796" s="42">
        <v>2361.30004882813</v>
      </c>
      <c r="C796" s="42">
        <v>18688.099609375</v>
      </c>
      <c r="D796" s="289">
        <f t="shared" si="24"/>
        <v>-3.6149041015322157E-3</v>
      </c>
      <c r="E796" s="289">
        <f t="shared" si="25"/>
        <v>2.6538714126733707E-3</v>
      </c>
      <c r="F796" s="14"/>
      <c r="G796" s="14"/>
    </row>
    <row r="797" spans="1:7" ht="14.25" customHeight="1" x14ac:dyDescent="0.3">
      <c r="A797" s="41">
        <v>45093</v>
      </c>
      <c r="B797" s="42">
        <v>2366.80004882813</v>
      </c>
      <c r="C797" s="42">
        <v>18826</v>
      </c>
      <c r="D797" s="289">
        <f t="shared" si="24"/>
        <v>7.3790483520229863E-3</v>
      </c>
      <c r="E797" s="289">
        <f t="shared" si="25"/>
        <v>2.3292253785068737E-3</v>
      </c>
      <c r="F797" s="14"/>
      <c r="G797" s="14"/>
    </row>
    <row r="798" spans="1:7" ht="14.25" customHeight="1" x14ac:dyDescent="0.3">
      <c r="A798" s="41">
        <v>45096</v>
      </c>
      <c r="B798" s="42">
        <v>2366.35009765625</v>
      </c>
      <c r="C798" s="42">
        <v>18755.44921875</v>
      </c>
      <c r="D798" s="289">
        <f t="shared" si="24"/>
        <v>-3.7475183921172844E-3</v>
      </c>
      <c r="E798" s="289">
        <f t="shared" si="25"/>
        <v>-1.90109499153841E-4</v>
      </c>
      <c r="F798" s="14"/>
      <c r="G798" s="14"/>
    </row>
    <row r="799" spans="1:7" ht="14.25" customHeight="1" x14ac:dyDescent="0.3">
      <c r="A799" s="41">
        <v>45097</v>
      </c>
      <c r="B799" s="42">
        <v>2382</v>
      </c>
      <c r="C799" s="42">
        <v>18816.69921875</v>
      </c>
      <c r="D799" s="289">
        <f t="shared" si="24"/>
        <v>3.2657175674986124E-3</v>
      </c>
      <c r="E799" s="289">
        <f t="shared" si="25"/>
        <v>6.6135194277678671E-3</v>
      </c>
      <c r="F799" s="14"/>
      <c r="G799" s="14"/>
    </row>
    <row r="800" spans="1:7" ht="14.25" customHeight="1" x14ac:dyDescent="0.3">
      <c r="A800" s="41">
        <v>45098</v>
      </c>
      <c r="B800" s="42">
        <v>2394.44995117188</v>
      </c>
      <c r="C800" s="42">
        <v>18856.849609375</v>
      </c>
      <c r="D800" s="289">
        <f t="shared" si="24"/>
        <v>2.133763746671995E-3</v>
      </c>
      <c r="E800" s="289">
        <f t="shared" si="25"/>
        <v>5.226679753098238E-3</v>
      </c>
      <c r="F800" s="14"/>
      <c r="G800" s="14"/>
    </row>
    <row r="801" spans="1:7" ht="14.25" customHeight="1" x14ac:dyDescent="0.3">
      <c r="A801" s="41">
        <v>45099</v>
      </c>
      <c r="B801" s="42">
        <v>2416.25</v>
      </c>
      <c r="C801" s="42">
        <v>18771.25</v>
      </c>
      <c r="D801" s="289">
        <f t="shared" si="24"/>
        <v>-4.5394438174042985E-3</v>
      </c>
      <c r="E801" s="289">
        <f t="shared" si="25"/>
        <v>9.1044078066658801E-3</v>
      </c>
      <c r="F801" s="14"/>
      <c r="G801" s="14"/>
    </row>
    <row r="802" spans="1:7" ht="14.25" customHeight="1" x14ac:dyDescent="0.3">
      <c r="A802" s="41">
        <v>45100</v>
      </c>
      <c r="B802" s="42">
        <v>2389.55004882813</v>
      </c>
      <c r="C802" s="42">
        <v>18665.5</v>
      </c>
      <c r="D802" s="289">
        <f t="shared" si="24"/>
        <v>-5.6336152360657917E-3</v>
      </c>
      <c r="E802" s="289">
        <f t="shared" si="25"/>
        <v>-1.1050160857473356E-2</v>
      </c>
      <c r="F802" s="14"/>
      <c r="G802" s="14"/>
    </row>
    <row r="803" spans="1:7" ht="14.25" customHeight="1" x14ac:dyDescent="0.3">
      <c r="A803" s="41">
        <v>45103</v>
      </c>
      <c r="B803" s="42">
        <v>2377.55004882813</v>
      </c>
      <c r="C803" s="42">
        <v>18691.19921875</v>
      </c>
      <c r="D803" s="289">
        <f t="shared" si="24"/>
        <v>1.3768299134767352E-3</v>
      </c>
      <c r="E803" s="289">
        <f t="shared" si="25"/>
        <v>-5.0218659391063911E-3</v>
      </c>
      <c r="F803" s="14"/>
      <c r="G803" s="14"/>
    </row>
    <row r="804" spans="1:7" ht="14.25" customHeight="1" x14ac:dyDescent="0.3">
      <c r="A804" s="41">
        <v>45104</v>
      </c>
      <c r="B804" s="42">
        <v>2388.05004882813</v>
      </c>
      <c r="C804" s="42">
        <v>18817.400390625</v>
      </c>
      <c r="D804" s="289">
        <f t="shared" si="24"/>
        <v>6.7519034171120394E-3</v>
      </c>
      <c r="E804" s="289">
        <f t="shared" si="25"/>
        <v>4.4163108175894515E-3</v>
      </c>
      <c r="F804" s="14"/>
      <c r="G804" s="14"/>
    </row>
    <row r="805" spans="1:7" ht="14.25" customHeight="1" x14ac:dyDescent="0.3">
      <c r="A805" s="41">
        <v>45105</v>
      </c>
      <c r="B805" s="42">
        <v>2421.44995117188</v>
      </c>
      <c r="C805" s="42">
        <v>18972.099609375</v>
      </c>
      <c r="D805" s="289">
        <f t="shared" si="24"/>
        <v>8.2210728123249463E-3</v>
      </c>
      <c r="E805" s="289">
        <f t="shared" si="25"/>
        <v>1.3986265639675385E-2</v>
      </c>
      <c r="F805" s="14"/>
      <c r="G805" s="14"/>
    </row>
    <row r="806" spans="1:7" ht="14.25" customHeight="1" x14ac:dyDescent="0.3">
      <c r="A806" s="41">
        <v>45107</v>
      </c>
      <c r="B806" s="42">
        <v>2475.55004882813</v>
      </c>
      <c r="C806" s="42">
        <v>19189.05078125</v>
      </c>
      <c r="D806" s="289">
        <f t="shared" si="24"/>
        <v>1.143527476356883E-2</v>
      </c>
      <c r="E806" s="289">
        <f t="shared" si="25"/>
        <v>2.2342025954353435E-2</v>
      </c>
      <c r="F806" s="14"/>
      <c r="G806" s="14"/>
    </row>
    <row r="807" spans="1:7" ht="14.25" customHeight="1" x14ac:dyDescent="0.3">
      <c r="A807" s="41">
        <v>45110</v>
      </c>
      <c r="B807" s="42">
        <v>2454.05004882813</v>
      </c>
      <c r="C807" s="42">
        <v>19322.55078125</v>
      </c>
      <c r="D807" s="289">
        <f t="shared" si="24"/>
        <v>6.9570924336937751E-3</v>
      </c>
      <c r="E807" s="289">
        <f t="shared" si="25"/>
        <v>-8.6849385291877332E-3</v>
      </c>
      <c r="F807" s="14"/>
      <c r="G807" s="14"/>
    </row>
    <row r="808" spans="1:7" ht="14.25" customHeight="1" x14ac:dyDescent="0.3">
      <c r="A808" s="41">
        <v>45111</v>
      </c>
      <c r="B808" s="42">
        <v>2461.85009765625</v>
      </c>
      <c r="C808" s="42">
        <v>19389</v>
      </c>
      <c r="D808" s="289">
        <f t="shared" si="24"/>
        <v>3.4389465191355714E-3</v>
      </c>
      <c r="E808" s="289">
        <f t="shared" si="25"/>
        <v>3.1784391813217973E-3</v>
      </c>
      <c r="F808" s="14"/>
      <c r="G808" s="14"/>
    </row>
    <row r="809" spans="1:7" ht="14.25" customHeight="1" x14ac:dyDescent="0.3">
      <c r="A809" s="41">
        <v>45112</v>
      </c>
      <c r="B809" s="42">
        <v>2470.80004882813</v>
      </c>
      <c r="C809" s="42">
        <v>19398.5</v>
      </c>
      <c r="D809" s="289">
        <f t="shared" si="24"/>
        <v>4.8996853886224153E-4</v>
      </c>
      <c r="E809" s="289">
        <f t="shared" si="25"/>
        <v>3.6354574067692445E-3</v>
      </c>
      <c r="F809" s="14"/>
      <c r="G809" s="14"/>
    </row>
    <row r="810" spans="1:7" ht="14.25" customHeight="1" x14ac:dyDescent="0.3">
      <c r="A810" s="41">
        <v>45113</v>
      </c>
      <c r="B810" s="42">
        <v>2488.60009765625</v>
      </c>
      <c r="C810" s="42">
        <v>19497.30078125</v>
      </c>
      <c r="D810" s="289">
        <f t="shared" si="24"/>
        <v>5.0932175812562824E-3</v>
      </c>
      <c r="E810" s="289">
        <f t="shared" si="25"/>
        <v>7.2041640263696537E-3</v>
      </c>
      <c r="F810" s="14"/>
      <c r="G810" s="14"/>
    </row>
    <row r="811" spans="1:7" ht="14.25" customHeight="1" x14ac:dyDescent="0.3">
      <c r="A811" s="41">
        <v>45114</v>
      </c>
      <c r="B811" s="42">
        <v>2449.35009765625</v>
      </c>
      <c r="C811" s="42">
        <v>19331.80078125</v>
      </c>
      <c r="D811" s="289">
        <f t="shared" si="24"/>
        <v>-8.4883544577184066E-3</v>
      </c>
      <c r="E811" s="289">
        <f t="shared" si="25"/>
        <v>-1.5771919336081935E-2</v>
      </c>
      <c r="F811" s="14"/>
      <c r="G811" s="14"/>
    </row>
    <row r="812" spans="1:7" ht="14.25" customHeight="1" x14ac:dyDescent="0.3">
      <c r="A812" s="41">
        <v>45117</v>
      </c>
      <c r="B812" s="42">
        <v>2438.75</v>
      </c>
      <c r="C812" s="42">
        <v>19355.900390625</v>
      </c>
      <c r="D812" s="289">
        <f t="shared" si="24"/>
        <v>1.2466303397029789E-3</v>
      </c>
      <c r="E812" s="289">
        <f t="shared" si="25"/>
        <v>-4.3277184696434738E-3</v>
      </c>
      <c r="F812" s="14"/>
      <c r="G812" s="14"/>
    </row>
    <row r="813" spans="1:7" ht="14.25" customHeight="1" x14ac:dyDescent="0.3">
      <c r="A813" s="41">
        <v>45118</v>
      </c>
      <c r="B813" s="42">
        <v>2474.55004882813</v>
      </c>
      <c r="C813" s="42">
        <v>19439.400390625</v>
      </c>
      <c r="D813" s="289">
        <f t="shared" si="24"/>
        <v>4.3139300324382271E-3</v>
      </c>
      <c r="E813" s="289">
        <f t="shared" si="25"/>
        <v>1.4679671482575091E-2</v>
      </c>
      <c r="F813" s="14"/>
      <c r="G813" s="14"/>
    </row>
    <row r="814" spans="1:7" ht="14.25" customHeight="1" x14ac:dyDescent="0.3">
      <c r="A814" s="41">
        <v>45119</v>
      </c>
      <c r="B814" s="42">
        <v>2454.94995117188</v>
      </c>
      <c r="C814" s="42">
        <v>19384.30078125</v>
      </c>
      <c r="D814" s="289">
        <f t="shared" si="24"/>
        <v>-2.8344294714755078E-3</v>
      </c>
      <c r="E814" s="289">
        <f t="shared" si="25"/>
        <v>-7.9206713420615586E-3</v>
      </c>
      <c r="F814" s="14"/>
      <c r="G814" s="14"/>
    </row>
    <row r="815" spans="1:7" ht="14.25" customHeight="1" x14ac:dyDescent="0.3">
      <c r="A815" s="41">
        <v>45120</v>
      </c>
      <c r="B815" s="42">
        <v>2450.14990234375</v>
      </c>
      <c r="C815" s="42">
        <v>19413.75</v>
      </c>
      <c r="D815" s="289">
        <f t="shared" si="24"/>
        <v>1.5192303855749891E-3</v>
      </c>
      <c r="E815" s="289">
        <f t="shared" si="25"/>
        <v>-1.9552532326936769E-3</v>
      </c>
      <c r="F815" s="14"/>
      <c r="G815" s="14"/>
    </row>
    <row r="816" spans="1:7" ht="14.25" customHeight="1" x14ac:dyDescent="0.3">
      <c r="A816" s="41">
        <v>45121</v>
      </c>
      <c r="B816" s="42">
        <v>2472.25</v>
      </c>
      <c r="C816" s="42">
        <v>19564.5</v>
      </c>
      <c r="D816" s="289">
        <f t="shared" si="24"/>
        <v>7.7651149314274673E-3</v>
      </c>
      <c r="E816" s="289">
        <f t="shared" si="25"/>
        <v>9.0198961439500579E-3</v>
      </c>
      <c r="F816" s="14"/>
      <c r="G816" s="14"/>
    </row>
    <row r="817" spans="1:7" ht="14.25" customHeight="1" x14ac:dyDescent="0.3">
      <c r="A817" s="41">
        <v>45124</v>
      </c>
      <c r="B817" s="42">
        <v>2468.80004882813</v>
      </c>
      <c r="C817" s="42">
        <v>19711.44921875</v>
      </c>
      <c r="D817" s="289">
        <f t="shared" si="24"/>
        <v>7.5110132510414268E-3</v>
      </c>
      <c r="E817" s="289">
        <f t="shared" si="25"/>
        <v>-1.3954701878329447E-3</v>
      </c>
      <c r="F817" s="14"/>
      <c r="G817" s="14"/>
    </row>
    <row r="818" spans="1:7" ht="14.25" customHeight="1" x14ac:dyDescent="0.3">
      <c r="A818" s="41">
        <v>45125</v>
      </c>
      <c r="B818" s="42">
        <v>2474.69995117188</v>
      </c>
      <c r="C818" s="42">
        <v>19749.25</v>
      </c>
      <c r="D818" s="289">
        <f t="shared" si="24"/>
        <v>1.917706853032551E-3</v>
      </c>
      <c r="E818" s="289">
        <f t="shared" si="25"/>
        <v>2.3897854127759425E-3</v>
      </c>
      <c r="F818" s="14"/>
      <c r="G818" s="14"/>
    </row>
    <row r="819" spans="1:7" ht="14.25" customHeight="1" x14ac:dyDescent="0.3">
      <c r="A819" s="41">
        <v>45126</v>
      </c>
      <c r="B819" s="42">
        <v>2494.14990234375</v>
      </c>
      <c r="C819" s="42">
        <v>19833.150390625</v>
      </c>
      <c r="D819" s="289">
        <f t="shared" si="24"/>
        <v>4.248282371482461E-3</v>
      </c>
      <c r="E819" s="289">
        <f t="shared" si="25"/>
        <v>7.8595189540693958E-3</v>
      </c>
      <c r="F819" s="14"/>
      <c r="G819" s="14"/>
    </row>
    <row r="820" spans="1:7" ht="14.25" customHeight="1" x14ac:dyDescent="0.3">
      <c r="A820" s="41">
        <v>45127</v>
      </c>
      <c r="B820" s="42">
        <v>2489.69995117188</v>
      </c>
      <c r="C820" s="42">
        <v>19979.150390625</v>
      </c>
      <c r="D820" s="289">
        <f t="shared" si="24"/>
        <v>7.3614124394989332E-3</v>
      </c>
      <c r="E820" s="289">
        <f t="shared" si="25"/>
        <v>-1.7841554622231742E-3</v>
      </c>
      <c r="F820" s="14"/>
      <c r="G820" s="14"/>
    </row>
    <row r="821" spans="1:7" ht="14.25" customHeight="1" x14ac:dyDescent="0.3">
      <c r="A821" s="41">
        <v>45128</v>
      </c>
      <c r="B821" s="42">
        <v>2586.25</v>
      </c>
      <c r="C821" s="42">
        <v>19745</v>
      </c>
      <c r="D821" s="289">
        <f t="shared" si="24"/>
        <v>-1.1719737128305142E-2</v>
      </c>
      <c r="E821" s="289">
        <f t="shared" si="25"/>
        <v>3.8779793035973967E-2</v>
      </c>
      <c r="F821" s="14"/>
      <c r="G821" s="14"/>
    </row>
    <row r="822" spans="1:7" ht="14.25" customHeight="1" x14ac:dyDescent="0.3">
      <c r="A822" s="41">
        <v>45131</v>
      </c>
      <c r="B822" s="42">
        <v>2605.25</v>
      </c>
      <c r="C822" s="42">
        <v>19672.349609375</v>
      </c>
      <c r="D822" s="289">
        <f t="shared" si="24"/>
        <v>-3.6794322929855658E-3</v>
      </c>
      <c r="E822" s="289">
        <f t="shared" si="25"/>
        <v>7.3465442242629285E-3</v>
      </c>
      <c r="F822" s="14"/>
      <c r="G822" s="14"/>
    </row>
    <row r="823" spans="1:7" ht="14.25" customHeight="1" x14ac:dyDescent="0.3">
      <c r="A823" s="41">
        <v>45132</v>
      </c>
      <c r="B823" s="42">
        <v>2560.89990234375</v>
      </c>
      <c r="C823" s="42">
        <v>19680.599609375</v>
      </c>
      <c r="D823" s="289">
        <f t="shared" si="24"/>
        <v>4.193703428322768E-4</v>
      </c>
      <c r="E823" s="289">
        <f t="shared" si="25"/>
        <v>-1.702335578399386E-2</v>
      </c>
      <c r="F823" s="14"/>
      <c r="G823" s="14"/>
    </row>
    <row r="824" spans="1:7" ht="14.25" customHeight="1" x14ac:dyDescent="0.3">
      <c r="A824" s="41">
        <v>45133</v>
      </c>
      <c r="B824" s="42">
        <v>2646.25</v>
      </c>
      <c r="C824" s="42">
        <v>19778.30078125</v>
      </c>
      <c r="D824" s="289">
        <f t="shared" si="24"/>
        <v>4.9643391875346787E-3</v>
      </c>
      <c r="E824" s="289">
        <f t="shared" si="25"/>
        <v>3.3328166234899342E-2</v>
      </c>
      <c r="F824" s="14"/>
      <c r="G824" s="14"/>
    </row>
    <row r="825" spans="1:7" ht="14.25" customHeight="1" x14ac:dyDescent="0.3">
      <c r="A825" s="41">
        <v>45134</v>
      </c>
      <c r="B825" s="42">
        <v>2660.19995117188</v>
      </c>
      <c r="C825" s="42">
        <v>19659.900390625</v>
      </c>
      <c r="D825" s="289">
        <f t="shared" si="24"/>
        <v>-5.9863783008722669E-3</v>
      </c>
      <c r="E825" s="289">
        <f t="shared" si="25"/>
        <v>5.2715923181407658E-3</v>
      </c>
      <c r="F825" s="14"/>
      <c r="G825" s="14"/>
    </row>
    <row r="826" spans="1:7" ht="14.25" customHeight="1" x14ac:dyDescent="0.3">
      <c r="A826" s="41">
        <v>45135</v>
      </c>
      <c r="B826" s="42">
        <v>2649.55004882813</v>
      </c>
      <c r="C826" s="42">
        <v>19646.05078125</v>
      </c>
      <c r="D826" s="289">
        <f t="shared" si="24"/>
        <v>-7.0445979378432207E-4</v>
      </c>
      <c r="E826" s="289">
        <f t="shared" si="25"/>
        <v>-4.0034217499547243E-3</v>
      </c>
      <c r="F826" s="14"/>
      <c r="G826" s="14"/>
    </row>
    <row r="827" spans="1:7" ht="14.25" customHeight="1" x14ac:dyDescent="0.3">
      <c r="A827" s="41">
        <v>45138</v>
      </c>
      <c r="B827" s="42">
        <v>2681.35009765625</v>
      </c>
      <c r="C827" s="42">
        <v>19753.80078125</v>
      </c>
      <c r="D827" s="289">
        <f t="shared" si="24"/>
        <v>5.4845628365592716E-3</v>
      </c>
      <c r="E827" s="289">
        <f t="shared" si="25"/>
        <v>1.2002056289589565E-2</v>
      </c>
      <c r="F827" s="14"/>
      <c r="G827" s="14"/>
    </row>
    <row r="828" spans="1:7" ht="14.25" customHeight="1" x14ac:dyDescent="0.3">
      <c r="A828" s="41">
        <v>45139</v>
      </c>
      <c r="B828" s="42">
        <v>2666.64990234375</v>
      </c>
      <c r="C828" s="42">
        <v>19733.55078125</v>
      </c>
      <c r="D828" s="289">
        <f t="shared" si="24"/>
        <v>-1.0251191770254656E-3</v>
      </c>
      <c r="E828" s="289">
        <f t="shared" si="25"/>
        <v>-5.4823856554014868E-3</v>
      </c>
      <c r="F828" s="14"/>
      <c r="G828" s="14"/>
    </row>
    <row r="829" spans="1:7" ht="14.25" customHeight="1" x14ac:dyDescent="0.3">
      <c r="A829" s="41">
        <v>45140</v>
      </c>
      <c r="B829" s="42">
        <v>2622.14990234375</v>
      </c>
      <c r="C829" s="42">
        <v>19526.55078125</v>
      </c>
      <c r="D829" s="289">
        <f t="shared" si="24"/>
        <v>-1.0489749274959822E-2</v>
      </c>
      <c r="E829" s="289">
        <f t="shared" si="25"/>
        <v>-1.6687604908649022E-2</v>
      </c>
      <c r="F829" s="14"/>
      <c r="G829" s="14"/>
    </row>
    <row r="830" spans="1:7" ht="14.25" customHeight="1" x14ac:dyDescent="0.3">
      <c r="A830" s="41">
        <v>45141</v>
      </c>
      <c r="B830" s="42">
        <v>2598.10009765625</v>
      </c>
      <c r="C830" s="42">
        <v>19381.650390625</v>
      </c>
      <c r="D830" s="289">
        <f t="shared" si="24"/>
        <v>-7.4206854169113091E-3</v>
      </c>
      <c r="E830" s="289">
        <f t="shared" si="25"/>
        <v>-9.1717886403075658E-3</v>
      </c>
      <c r="F830" s="14"/>
      <c r="G830" s="14"/>
    </row>
    <row r="831" spans="1:7" ht="14.25" customHeight="1" x14ac:dyDescent="0.3">
      <c r="A831" s="41">
        <v>45142</v>
      </c>
      <c r="B831" s="42">
        <v>2626.89990234375</v>
      </c>
      <c r="C831" s="42">
        <v>19517</v>
      </c>
      <c r="D831" s="289">
        <f t="shared" si="24"/>
        <v>6.9833892701144417E-3</v>
      </c>
      <c r="E831" s="289">
        <f t="shared" si="25"/>
        <v>1.1084948079360125E-2</v>
      </c>
      <c r="F831" s="14"/>
      <c r="G831" s="14"/>
    </row>
    <row r="832" spans="1:7" ht="14.25" customHeight="1" x14ac:dyDescent="0.3">
      <c r="A832" s="41">
        <v>45145</v>
      </c>
      <c r="B832" s="42">
        <v>2635.89990234375</v>
      </c>
      <c r="C832" s="42">
        <v>19597.30078125</v>
      </c>
      <c r="D832" s="289">
        <f t="shared" si="24"/>
        <v>4.1144018676026028E-3</v>
      </c>
      <c r="E832" s="289">
        <f t="shared" si="25"/>
        <v>3.4260917182151089E-3</v>
      </c>
      <c r="F832" s="14"/>
      <c r="G832" s="14"/>
    </row>
    <row r="833" spans="1:7" ht="14.25" customHeight="1" x14ac:dyDescent="0.3">
      <c r="A833" s="41">
        <v>45146</v>
      </c>
      <c r="B833" s="42">
        <v>2632.19995117188</v>
      </c>
      <c r="C833" s="42">
        <v>19570.849609375</v>
      </c>
      <c r="D833" s="289">
        <f t="shared" si="24"/>
        <v>-1.349735464605796E-3</v>
      </c>
      <c r="E833" s="289">
        <f t="shared" si="25"/>
        <v>-1.4036766603239108E-3</v>
      </c>
      <c r="F833" s="14"/>
      <c r="G833" s="14"/>
    </row>
    <row r="834" spans="1:7" ht="14.25" customHeight="1" x14ac:dyDescent="0.3">
      <c r="A834" s="41">
        <v>45147</v>
      </c>
      <c r="B834" s="42">
        <v>2651.60009765625</v>
      </c>
      <c r="C834" s="42">
        <v>19632.55078125</v>
      </c>
      <c r="D834" s="289">
        <f t="shared" si="24"/>
        <v>3.1527078847636415E-3</v>
      </c>
      <c r="E834" s="289">
        <f t="shared" si="25"/>
        <v>7.3703164061426534E-3</v>
      </c>
      <c r="F834" s="14"/>
      <c r="G834" s="14"/>
    </row>
    <row r="835" spans="1:7" ht="14.25" customHeight="1" x14ac:dyDescent="0.3">
      <c r="A835" s="41">
        <v>45148</v>
      </c>
      <c r="B835" s="42">
        <v>2643.5</v>
      </c>
      <c r="C835" s="42">
        <v>19543.099609375</v>
      </c>
      <c r="D835" s="289">
        <f t="shared" ref="D835:D898" si="26">(C835-C834)/C834</f>
        <v>-4.5562684580156563E-3</v>
      </c>
      <c r="E835" s="289">
        <f t="shared" ref="E835:E898" si="27">(B835-B834)/B834</f>
        <v>-3.0547961072296226E-3</v>
      </c>
      <c r="F835" s="14"/>
      <c r="G835" s="14"/>
    </row>
    <row r="836" spans="1:7" ht="14.25" customHeight="1" x14ac:dyDescent="0.3">
      <c r="A836" s="41">
        <v>45149</v>
      </c>
      <c r="B836" s="42">
        <v>2638.5</v>
      </c>
      <c r="C836" s="42">
        <v>19428.30078125</v>
      </c>
      <c r="D836" s="289">
        <f t="shared" si="26"/>
        <v>-5.8741361615907628E-3</v>
      </c>
      <c r="E836" s="289">
        <f t="shared" si="27"/>
        <v>-1.8914318138831096E-3</v>
      </c>
      <c r="F836" s="14"/>
      <c r="G836" s="14"/>
    </row>
    <row r="837" spans="1:7" ht="14.25" customHeight="1" x14ac:dyDescent="0.3">
      <c r="A837" s="41">
        <v>45152</v>
      </c>
      <c r="B837" s="42">
        <v>2659.89990234375</v>
      </c>
      <c r="C837" s="42">
        <v>19434.55078125</v>
      </c>
      <c r="D837" s="289">
        <f t="shared" si="26"/>
        <v>3.2169565781232879E-4</v>
      </c>
      <c r="E837" s="289">
        <f t="shared" si="27"/>
        <v>8.1106319286526427E-3</v>
      </c>
      <c r="F837" s="14"/>
      <c r="G837" s="14"/>
    </row>
    <row r="838" spans="1:7" ht="14.25" customHeight="1" x14ac:dyDescent="0.3">
      <c r="A838" s="41">
        <v>45154</v>
      </c>
      <c r="B838" s="42">
        <v>2691.05004882813</v>
      </c>
      <c r="C838" s="42">
        <v>19465</v>
      </c>
      <c r="D838" s="289">
        <f t="shared" si="26"/>
        <v>1.5667570139761961E-3</v>
      </c>
      <c r="E838" s="289">
        <f t="shared" si="27"/>
        <v>1.1711022079038498E-2</v>
      </c>
      <c r="F838" s="14"/>
      <c r="G838" s="14"/>
    </row>
    <row r="839" spans="1:7" ht="14.25" customHeight="1" x14ac:dyDescent="0.3">
      <c r="A839" s="41">
        <v>45155</v>
      </c>
      <c r="B839" s="42">
        <v>2652.5</v>
      </c>
      <c r="C839" s="42">
        <v>19365.25</v>
      </c>
      <c r="D839" s="289">
        <f t="shared" si="26"/>
        <v>-5.124582584125353E-3</v>
      </c>
      <c r="E839" s="289">
        <f t="shared" si="27"/>
        <v>-1.4325281257744489E-2</v>
      </c>
      <c r="F839" s="14"/>
      <c r="G839" s="14"/>
    </row>
    <row r="840" spans="1:7" ht="14.25" customHeight="1" x14ac:dyDescent="0.3">
      <c r="A840" s="41">
        <v>45156</v>
      </c>
      <c r="B840" s="42">
        <v>2641.94995117188</v>
      </c>
      <c r="C840" s="42">
        <v>19310.150390625</v>
      </c>
      <c r="D840" s="289">
        <f t="shared" si="26"/>
        <v>-2.8452826260957128E-3</v>
      </c>
      <c r="E840" s="289">
        <f t="shared" si="27"/>
        <v>-3.9773982386880295E-3</v>
      </c>
      <c r="F840" s="14"/>
      <c r="G840" s="14"/>
    </row>
    <row r="841" spans="1:7" ht="14.25" customHeight="1" x14ac:dyDescent="0.3">
      <c r="A841" s="41">
        <v>45159</v>
      </c>
      <c r="B841" s="42">
        <v>2662.25</v>
      </c>
      <c r="C841" s="42">
        <v>19393.599609375</v>
      </c>
      <c r="D841" s="289">
        <f t="shared" si="26"/>
        <v>4.3215209131936255E-3</v>
      </c>
      <c r="E841" s="289">
        <f t="shared" si="27"/>
        <v>7.6837370893856564E-3</v>
      </c>
      <c r="F841" s="14"/>
      <c r="G841" s="14"/>
    </row>
    <row r="842" spans="1:7" ht="14.25" customHeight="1" x14ac:dyDescent="0.3">
      <c r="A842" s="41">
        <v>45160</v>
      </c>
      <c r="B842" s="42">
        <v>2678.80004882813</v>
      </c>
      <c r="C842" s="42">
        <v>19396.44921875</v>
      </c>
      <c r="D842" s="289">
        <f t="shared" si="26"/>
        <v>1.4693555773021523E-4</v>
      </c>
      <c r="E842" s="289">
        <f t="shared" si="27"/>
        <v>6.2165644954944137E-3</v>
      </c>
      <c r="F842" s="14"/>
      <c r="G842" s="14"/>
    </row>
    <row r="843" spans="1:7" ht="14.25" customHeight="1" x14ac:dyDescent="0.3">
      <c r="A843" s="41">
        <v>45161</v>
      </c>
      <c r="B843" s="42">
        <v>2717.60009765625</v>
      </c>
      <c r="C843" s="42">
        <v>19444</v>
      </c>
      <c r="D843" s="289">
        <f t="shared" si="26"/>
        <v>2.4515199000461384E-3</v>
      </c>
      <c r="E843" s="289">
        <f t="shared" si="27"/>
        <v>1.4484115320624061E-2</v>
      </c>
      <c r="F843" s="14"/>
      <c r="G843" s="14"/>
    </row>
    <row r="844" spans="1:7" ht="14.25" customHeight="1" x14ac:dyDescent="0.3">
      <c r="A844" s="41">
        <v>45162</v>
      </c>
      <c r="B844" s="42">
        <v>2688.14990234375</v>
      </c>
      <c r="C844" s="42">
        <v>19386.69921875</v>
      </c>
      <c r="D844" s="289">
        <f t="shared" si="26"/>
        <v>-2.9469646806212714E-3</v>
      </c>
      <c r="E844" s="289">
        <f t="shared" si="27"/>
        <v>-1.083683921629928E-2</v>
      </c>
      <c r="F844" s="14"/>
      <c r="G844" s="14"/>
    </row>
    <row r="845" spans="1:7" ht="14.25" customHeight="1" x14ac:dyDescent="0.3">
      <c r="A845" s="41">
        <v>45163</v>
      </c>
      <c r="B845" s="42">
        <v>2638.39990234375</v>
      </c>
      <c r="C845" s="42">
        <v>19265.80078125</v>
      </c>
      <c r="D845" s="289">
        <f t="shared" si="26"/>
        <v>-6.2361537740819812E-3</v>
      </c>
      <c r="E845" s="289">
        <f t="shared" si="27"/>
        <v>-1.850715243098008E-2</v>
      </c>
      <c r="F845" s="14"/>
      <c r="G845" s="14"/>
    </row>
    <row r="846" spans="1:7" ht="14.25" customHeight="1" x14ac:dyDescent="0.3">
      <c r="A846" s="41">
        <v>45166</v>
      </c>
      <c r="B846" s="42">
        <v>2695.35009765625</v>
      </c>
      <c r="C846" s="42">
        <v>19306.05078125</v>
      </c>
      <c r="D846" s="289">
        <f t="shared" si="26"/>
        <v>2.089194238900902E-3</v>
      </c>
      <c r="E846" s="289">
        <f t="shared" si="27"/>
        <v>2.1585126372203795E-2</v>
      </c>
      <c r="F846" s="14"/>
      <c r="G846" s="14"/>
    </row>
    <row r="847" spans="1:7" ht="14.25" customHeight="1" x14ac:dyDescent="0.3">
      <c r="A847" s="41">
        <v>45167</v>
      </c>
      <c r="B847" s="42">
        <v>2718.94995117188</v>
      </c>
      <c r="C847" s="42">
        <v>19342.650390625</v>
      </c>
      <c r="D847" s="289">
        <f t="shared" si="26"/>
        <v>1.8957584743610782E-3</v>
      </c>
      <c r="E847" s="289">
        <f t="shared" si="27"/>
        <v>8.7557655445766863E-3</v>
      </c>
      <c r="F847" s="14"/>
      <c r="G847" s="14"/>
    </row>
    <row r="848" spans="1:7" ht="14.25" customHeight="1" x14ac:dyDescent="0.3">
      <c r="A848" s="41">
        <v>45168</v>
      </c>
      <c r="B848" s="42">
        <v>2709</v>
      </c>
      <c r="C848" s="42">
        <v>19347.44921875</v>
      </c>
      <c r="D848" s="289">
        <f t="shared" si="26"/>
        <v>2.4809568637635602E-4</v>
      </c>
      <c r="E848" s="289">
        <f t="shared" si="27"/>
        <v>-3.6594830175493034E-3</v>
      </c>
      <c r="F848" s="14"/>
      <c r="G848" s="14"/>
    </row>
    <row r="849" spans="1:7" ht="14.25" customHeight="1" x14ac:dyDescent="0.3">
      <c r="A849" s="41">
        <v>45169</v>
      </c>
      <c r="B849" s="42">
        <v>2702.69995117188</v>
      </c>
      <c r="C849" s="42">
        <v>19253.80078125</v>
      </c>
      <c r="D849" s="289">
        <f t="shared" si="26"/>
        <v>-4.8403506033882458E-3</v>
      </c>
      <c r="E849" s="289">
        <f t="shared" si="27"/>
        <v>-2.3255994197563671E-3</v>
      </c>
      <c r="F849" s="14"/>
      <c r="G849" s="14"/>
    </row>
    <row r="850" spans="1:7" ht="14.25" customHeight="1" x14ac:dyDescent="0.3">
      <c r="A850" s="41">
        <v>45170</v>
      </c>
      <c r="B850" s="42">
        <v>2702.10009765625</v>
      </c>
      <c r="C850" s="42">
        <v>19435.30078125</v>
      </c>
      <c r="D850" s="289">
        <f t="shared" si="26"/>
        <v>9.4267101889176502E-3</v>
      </c>
      <c r="E850" s="289">
        <f t="shared" si="27"/>
        <v>-2.2194602673889424E-4</v>
      </c>
      <c r="F850" s="14"/>
      <c r="G850" s="14"/>
    </row>
    <row r="851" spans="1:7" ht="14.25" customHeight="1" x14ac:dyDescent="0.3">
      <c r="A851" s="41">
        <v>45173</v>
      </c>
      <c r="B851" s="42">
        <v>2711.10009765625</v>
      </c>
      <c r="C851" s="42">
        <v>19528.80078125</v>
      </c>
      <c r="D851" s="289">
        <f t="shared" si="26"/>
        <v>4.8108337016426897E-3</v>
      </c>
      <c r="E851" s="289">
        <f t="shared" si="27"/>
        <v>3.3307426352585635E-3</v>
      </c>
      <c r="F851" s="14"/>
      <c r="G851" s="14"/>
    </row>
    <row r="852" spans="1:7" ht="14.25" customHeight="1" x14ac:dyDescent="0.3">
      <c r="A852" s="41">
        <v>45174</v>
      </c>
      <c r="B852" s="42">
        <v>2732.94995117188</v>
      </c>
      <c r="C852" s="42">
        <v>19574.900390625</v>
      </c>
      <c r="D852" s="289">
        <f t="shared" si="26"/>
        <v>2.3605960187407502E-3</v>
      </c>
      <c r="E852" s="289">
        <f t="shared" si="27"/>
        <v>8.0594049384304298E-3</v>
      </c>
      <c r="F852" s="14"/>
      <c r="G852" s="14"/>
    </row>
    <row r="853" spans="1:7" ht="14.25" customHeight="1" x14ac:dyDescent="0.3">
      <c r="A853" s="41">
        <v>45175</v>
      </c>
      <c r="B853" s="42">
        <v>2730.44995117188</v>
      </c>
      <c r="C853" s="42">
        <v>19611.05078125</v>
      </c>
      <c r="D853" s="289">
        <f t="shared" si="26"/>
        <v>1.8467726478094107E-3</v>
      </c>
      <c r="E853" s="289">
        <f t="shared" si="27"/>
        <v>-9.1476245253887948E-4</v>
      </c>
      <c r="F853" s="14"/>
      <c r="G853" s="14"/>
    </row>
    <row r="854" spans="1:7" ht="14.25" customHeight="1" x14ac:dyDescent="0.3">
      <c r="A854" s="41">
        <v>45176</v>
      </c>
      <c r="B854" s="42">
        <v>2846.39990234375</v>
      </c>
      <c r="C854" s="42">
        <v>19727.05078125</v>
      </c>
      <c r="D854" s="289">
        <f t="shared" si="26"/>
        <v>5.9150323607803238E-3</v>
      </c>
      <c r="E854" s="289">
        <f t="shared" si="27"/>
        <v>4.2465510536864266E-2</v>
      </c>
      <c r="F854" s="14"/>
      <c r="G854" s="14"/>
    </row>
    <row r="855" spans="1:7" ht="14.25" customHeight="1" x14ac:dyDescent="0.3">
      <c r="A855" s="41">
        <v>45177</v>
      </c>
      <c r="B855" s="42">
        <v>2901.60009765625</v>
      </c>
      <c r="C855" s="42">
        <v>19819.94921875</v>
      </c>
      <c r="D855" s="289">
        <f t="shared" si="26"/>
        <v>4.7091903665750848E-3</v>
      </c>
      <c r="E855" s="289">
        <f t="shared" si="27"/>
        <v>1.9392986652032866E-2</v>
      </c>
      <c r="F855" s="14"/>
      <c r="G855" s="14"/>
    </row>
    <row r="856" spans="1:7" ht="14.25" customHeight="1" x14ac:dyDescent="0.3">
      <c r="A856" s="41">
        <v>45180</v>
      </c>
      <c r="B856" s="42">
        <v>2894.19995117188</v>
      </c>
      <c r="C856" s="42">
        <v>19996.349609375</v>
      </c>
      <c r="D856" s="289">
        <f t="shared" si="26"/>
        <v>8.9001434200508597E-3</v>
      </c>
      <c r="E856" s="289">
        <f t="shared" si="27"/>
        <v>-2.5503674646094139E-3</v>
      </c>
      <c r="F856" s="14"/>
      <c r="G856" s="14"/>
    </row>
    <row r="857" spans="1:7" ht="14.25" customHeight="1" x14ac:dyDescent="0.3">
      <c r="A857" s="41">
        <v>45181</v>
      </c>
      <c r="B857" s="42">
        <v>2944.10009765625</v>
      </c>
      <c r="C857" s="42">
        <v>19993.19921875</v>
      </c>
      <c r="D857" s="289">
        <f t="shared" si="26"/>
        <v>-1.5754828688947231E-4</v>
      </c>
      <c r="E857" s="289">
        <f t="shared" si="27"/>
        <v>1.7241430214303303E-2</v>
      </c>
      <c r="F857" s="14"/>
      <c r="G857" s="14"/>
    </row>
    <row r="858" spans="1:7" ht="14.25" customHeight="1" x14ac:dyDescent="0.3">
      <c r="A858" s="41">
        <v>45182</v>
      </c>
      <c r="B858" s="42">
        <v>2906.75</v>
      </c>
      <c r="C858" s="42">
        <v>20070</v>
      </c>
      <c r="D858" s="289">
        <f t="shared" si="26"/>
        <v>3.8413452699443307E-3</v>
      </c>
      <c r="E858" s="289">
        <f t="shared" si="27"/>
        <v>-1.2686422477953043E-2</v>
      </c>
      <c r="F858" s="14"/>
      <c r="G858" s="14"/>
    </row>
    <row r="859" spans="1:7" ht="14.25" customHeight="1" x14ac:dyDescent="0.3">
      <c r="A859" s="41">
        <v>45183</v>
      </c>
      <c r="B859" s="42">
        <v>2918.60009765625</v>
      </c>
      <c r="C859" s="42">
        <v>20103.099609375</v>
      </c>
      <c r="D859" s="289">
        <f t="shared" si="26"/>
        <v>1.6492082399103139E-3</v>
      </c>
      <c r="E859" s="289">
        <f t="shared" si="27"/>
        <v>4.0767515803732694E-3</v>
      </c>
      <c r="F859" s="14"/>
      <c r="G859" s="14"/>
    </row>
    <row r="860" spans="1:7" ht="14.25" customHeight="1" x14ac:dyDescent="0.3">
      <c r="A860" s="41">
        <v>45184</v>
      </c>
      <c r="B860" s="42">
        <v>2908.55004882813</v>
      </c>
      <c r="C860" s="42">
        <v>20192.349609375</v>
      </c>
      <c r="D860" s="289">
        <f t="shared" si="26"/>
        <v>4.439613877174375E-3</v>
      </c>
      <c r="E860" s="289">
        <f t="shared" si="27"/>
        <v>-3.4434483971238746E-3</v>
      </c>
      <c r="F860" s="14"/>
      <c r="G860" s="14"/>
    </row>
    <row r="861" spans="1:7" ht="14.25" customHeight="1" x14ac:dyDescent="0.3">
      <c r="A861" s="41">
        <v>45187</v>
      </c>
      <c r="B861" s="42">
        <v>2919.85009765625</v>
      </c>
      <c r="C861" s="42">
        <v>20133.30078125</v>
      </c>
      <c r="D861" s="289">
        <f t="shared" si="26"/>
        <v>-2.9243168460982138E-3</v>
      </c>
      <c r="E861" s="289">
        <f t="shared" si="27"/>
        <v>3.8851141078603225E-3</v>
      </c>
      <c r="F861" s="14"/>
      <c r="G861" s="14"/>
    </row>
    <row r="862" spans="1:7" ht="14.25" customHeight="1" x14ac:dyDescent="0.3">
      <c r="A862" s="41">
        <v>45189</v>
      </c>
      <c r="B862" s="42">
        <v>2890</v>
      </c>
      <c r="C862" s="42">
        <v>19901.400390625</v>
      </c>
      <c r="D862" s="289">
        <f t="shared" si="26"/>
        <v>-1.1518249945432057E-2</v>
      </c>
      <c r="E862" s="289">
        <f t="shared" si="27"/>
        <v>-1.0223161004125018E-2</v>
      </c>
      <c r="F862" s="14"/>
      <c r="G862" s="14"/>
    </row>
    <row r="863" spans="1:7" ht="14.25" customHeight="1" x14ac:dyDescent="0.3">
      <c r="A863" s="41">
        <v>45190</v>
      </c>
      <c r="B863" s="42">
        <v>2899.35009765625</v>
      </c>
      <c r="C863" s="42">
        <v>19742.349609375</v>
      </c>
      <c r="D863" s="289">
        <f t="shared" si="26"/>
        <v>-7.9919391664982752E-3</v>
      </c>
      <c r="E863" s="289">
        <f t="shared" si="27"/>
        <v>3.2353279087370241E-3</v>
      </c>
      <c r="F863" s="14"/>
      <c r="G863" s="14"/>
    </row>
    <row r="864" spans="1:7" ht="14.25" customHeight="1" x14ac:dyDescent="0.3">
      <c r="A864" s="41">
        <v>45191</v>
      </c>
      <c r="B864" s="42">
        <v>2918.5</v>
      </c>
      <c r="C864" s="42">
        <v>19674.25</v>
      </c>
      <c r="D864" s="289">
        <f t="shared" si="26"/>
        <v>-3.4494176591149876E-3</v>
      </c>
      <c r="E864" s="289">
        <f t="shared" si="27"/>
        <v>6.6048947863282265E-3</v>
      </c>
      <c r="F864" s="14"/>
      <c r="G864" s="14"/>
    </row>
    <row r="865" spans="1:7" ht="14.25" customHeight="1" x14ac:dyDescent="0.3">
      <c r="A865" s="41">
        <v>45194</v>
      </c>
      <c r="B865" s="42">
        <v>2902.5</v>
      </c>
      <c r="C865" s="42">
        <v>19674.55078125</v>
      </c>
      <c r="D865" s="289">
        <f t="shared" si="26"/>
        <v>1.5288066889462116E-5</v>
      </c>
      <c r="E865" s="289">
        <f t="shared" si="27"/>
        <v>-5.482268288504369E-3</v>
      </c>
      <c r="F865" s="14"/>
      <c r="G865" s="14"/>
    </row>
    <row r="866" spans="1:7" ht="14.25" customHeight="1" x14ac:dyDescent="0.3">
      <c r="A866" s="41">
        <v>45195</v>
      </c>
      <c r="B866" s="42">
        <v>2912.55004882813</v>
      </c>
      <c r="C866" s="42">
        <v>19664.69921875</v>
      </c>
      <c r="D866" s="289">
        <f t="shared" si="26"/>
        <v>-5.0072617207548218E-4</v>
      </c>
      <c r="E866" s="289">
        <f t="shared" si="27"/>
        <v>3.4625491225254101E-3</v>
      </c>
      <c r="F866" s="14"/>
      <c r="G866" s="14"/>
    </row>
    <row r="867" spans="1:7" ht="14.25" customHeight="1" x14ac:dyDescent="0.3">
      <c r="A867" s="41">
        <v>45196</v>
      </c>
      <c r="B867" s="42">
        <v>2965.05004882813</v>
      </c>
      <c r="C867" s="42">
        <v>19716.44921875</v>
      </c>
      <c r="D867" s="289">
        <f t="shared" si="26"/>
        <v>2.6316191986632139E-3</v>
      </c>
      <c r="E867" s="289">
        <f t="shared" si="27"/>
        <v>1.8025441321128016E-2</v>
      </c>
      <c r="F867" s="14"/>
      <c r="G867" s="14"/>
    </row>
    <row r="868" spans="1:7" ht="14.25" customHeight="1" x14ac:dyDescent="0.3">
      <c r="A868" s="41">
        <v>45197</v>
      </c>
      <c r="B868" s="42">
        <v>3010</v>
      </c>
      <c r="C868" s="42">
        <v>19523.55078125</v>
      </c>
      <c r="D868" s="289">
        <f t="shared" si="26"/>
        <v>-9.7836296667737181E-3</v>
      </c>
      <c r="E868" s="289">
        <f t="shared" si="27"/>
        <v>1.5159929994987931E-2</v>
      </c>
      <c r="F868" s="14"/>
      <c r="G868" s="14"/>
    </row>
    <row r="869" spans="1:7" ht="14.25" customHeight="1" x14ac:dyDescent="0.3">
      <c r="A869" s="41">
        <v>45198</v>
      </c>
      <c r="B869" s="42">
        <v>3023.55004882813</v>
      </c>
      <c r="C869" s="42">
        <v>19638.30078125</v>
      </c>
      <c r="D869" s="289">
        <f t="shared" si="26"/>
        <v>5.8775169171687482E-3</v>
      </c>
      <c r="E869" s="289">
        <f t="shared" si="27"/>
        <v>4.5016773515382065E-3</v>
      </c>
      <c r="F869" s="14"/>
      <c r="G869" s="14"/>
    </row>
    <row r="870" spans="1:7" ht="14.25" customHeight="1" x14ac:dyDescent="0.3">
      <c r="A870" s="41">
        <v>45202</v>
      </c>
      <c r="B870" s="42">
        <v>3073.25</v>
      </c>
      <c r="C870" s="42">
        <v>19528.75</v>
      </c>
      <c r="D870" s="289">
        <f t="shared" si="26"/>
        <v>-5.5784246544688561E-3</v>
      </c>
      <c r="E870" s="289">
        <f t="shared" si="27"/>
        <v>1.6437614846538672E-2</v>
      </c>
      <c r="F870" s="14"/>
      <c r="G870" s="14"/>
    </row>
    <row r="871" spans="1:7" ht="14.25" customHeight="1" x14ac:dyDescent="0.3">
      <c r="A871" s="41">
        <v>45203</v>
      </c>
      <c r="B871" s="42">
        <v>3027.75</v>
      </c>
      <c r="C871" s="42">
        <v>19436.099609375</v>
      </c>
      <c r="D871" s="289">
        <f t="shared" si="26"/>
        <v>-4.7443072713307301E-3</v>
      </c>
      <c r="E871" s="289">
        <f t="shared" si="27"/>
        <v>-1.4805173676075815E-2</v>
      </c>
      <c r="F871" s="14"/>
      <c r="G871" s="14"/>
    </row>
    <row r="872" spans="1:7" ht="14.25" customHeight="1" x14ac:dyDescent="0.3">
      <c r="A872" s="41">
        <v>45204</v>
      </c>
      <c r="B872" s="42">
        <v>3096.05004882813</v>
      </c>
      <c r="C872" s="42">
        <v>19545.75</v>
      </c>
      <c r="D872" s="289">
        <f t="shared" si="26"/>
        <v>5.6415841052857201E-3</v>
      </c>
      <c r="E872" s="289">
        <f t="shared" si="27"/>
        <v>2.2558021246182811E-2</v>
      </c>
      <c r="F872" s="14"/>
      <c r="G872" s="14"/>
    </row>
    <row r="873" spans="1:7" ht="14.25" customHeight="1" x14ac:dyDescent="0.3">
      <c r="A873" s="41">
        <v>45205</v>
      </c>
      <c r="B873" s="42">
        <v>3093.69995117188</v>
      </c>
      <c r="C873" s="42">
        <v>19653.5</v>
      </c>
      <c r="D873" s="289">
        <f t="shared" si="26"/>
        <v>5.512707366051443E-3</v>
      </c>
      <c r="E873" s="289">
        <f t="shared" si="27"/>
        <v>-7.5906319962092453E-4</v>
      </c>
      <c r="F873" s="14"/>
      <c r="G873" s="14"/>
    </row>
    <row r="874" spans="1:7" ht="14.25" customHeight="1" x14ac:dyDescent="0.3">
      <c r="A874" s="41">
        <v>45208</v>
      </c>
      <c r="B874" s="42">
        <v>3074.69995117188</v>
      </c>
      <c r="C874" s="42">
        <v>19512.349609375</v>
      </c>
      <c r="D874" s="289">
        <f t="shared" si="26"/>
        <v>-7.181946758847025E-3</v>
      </c>
      <c r="E874" s="289">
        <f t="shared" si="27"/>
        <v>-6.1415134951283441E-3</v>
      </c>
      <c r="F874" s="14"/>
      <c r="G874" s="14"/>
    </row>
    <row r="875" spans="1:7" ht="14.25" customHeight="1" x14ac:dyDescent="0.3">
      <c r="A875" s="41">
        <v>45209</v>
      </c>
      <c r="B875" s="42">
        <v>3076</v>
      </c>
      <c r="C875" s="42">
        <v>19689.849609375</v>
      </c>
      <c r="D875" s="289">
        <f t="shared" si="26"/>
        <v>9.0968029762401072E-3</v>
      </c>
      <c r="E875" s="289">
        <f t="shared" si="27"/>
        <v>4.2282136428450581E-4</v>
      </c>
      <c r="F875" s="14"/>
      <c r="G875" s="14"/>
    </row>
    <row r="876" spans="1:7" ht="14.25" customHeight="1" x14ac:dyDescent="0.3">
      <c r="A876" s="41">
        <v>45210</v>
      </c>
      <c r="B876" s="42">
        <v>3088.69995117188</v>
      </c>
      <c r="C876" s="42">
        <v>19811.349609375</v>
      </c>
      <c r="D876" s="289">
        <f t="shared" si="26"/>
        <v>6.1706921287072586E-3</v>
      </c>
      <c r="E876" s="289">
        <f t="shared" si="27"/>
        <v>4.1287227476853065E-3</v>
      </c>
      <c r="F876" s="14"/>
      <c r="G876" s="14"/>
    </row>
    <row r="877" spans="1:7" ht="14.25" customHeight="1" x14ac:dyDescent="0.3">
      <c r="A877" s="41">
        <v>45211</v>
      </c>
      <c r="B877" s="42">
        <v>3081.75</v>
      </c>
      <c r="C877" s="42">
        <v>19794</v>
      </c>
      <c r="D877" s="289">
        <f t="shared" si="26"/>
        <v>-8.7574091200681898E-4</v>
      </c>
      <c r="E877" s="289">
        <f t="shared" si="27"/>
        <v>-2.2501218252822292E-3</v>
      </c>
      <c r="F877" s="14"/>
      <c r="G877" s="14"/>
    </row>
    <row r="878" spans="1:7" ht="14.25" customHeight="1" x14ac:dyDescent="0.3">
      <c r="A878" s="41">
        <v>45212</v>
      </c>
      <c r="B878" s="42">
        <v>3089.60009765625</v>
      </c>
      <c r="C878" s="42">
        <v>19751.05078125</v>
      </c>
      <c r="D878" s="289">
        <f t="shared" si="26"/>
        <v>-2.1698099802970596E-3</v>
      </c>
      <c r="E878" s="289">
        <f t="shared" si="27"/>
        <v>2.5472856838646874E-3</v>
      </c>
      <c r="F878" s="14"/>
      <c r="G878" s="14"/>
    </row>
    <row r="879" spans="1:7" ht="14.25" customHeight="1" x14ac:dyDescent="0.3">
      <c r="A879" s="41">
        <v>45215</v>
      </c>
      <c r="B879" s="42">
        <v>3101.89990234375</v>
      </c>
      <c r="C879" s="42">
        <v>19731.75</v>
      </c>
      <c r="D879" s="289">
        <f t="shared" si="26"/>
        <v>-9.7720275562870559E-4</v>
      </c>
      <c r="E879" s="289">
        <f t="shared" si="27"/>
        <v>3.9810345348029186E-3</v>
      </c>
      <c r="F879" s="14"/>
      <c r="G879" s="14"/>
    </row>
    <row r="880" spans="1:7" ht="14.25" customHeight="1" x14ac:dyDescent="0.3">
      <c r="A880" s="41">
        <v>45216</v>
      </c>
      <c r="B880" s="42">
        <v>3066.30004882813</v>
      </c>
      <c r="C880" s="42">
        <v>19811.5</v>
      </c>
      <c r="D880" s="289">
        <f t="shared" si="26"/>
        <v>4.0417094276990126E-3</v>
      </c>
      <c r="E880" s="289">
        <f t="shared" si="27"/>
        <v>-1.1476789914697529E-2</v>
      </c>
      <c r="F880" s="14"/>
      <c r="G880" s="14"/>
    </row>
    <row r="881" spans="1:7" ht="14.25" customHeight="1" x14ac:dyDescent="0.3">
      <c r="A881" s="41">
        <v>45217</v>
      </c>
      <c r="B881" s="42">
        <v>3045.60009765625</v>
      </c>
      <c r="C881" s="42">
        <v>19671.099609375</v>
      </c>
      <c r="D881" s="289">
        <f t="shared" si="26"/>
        <v>-7.0868127413371024E-3</v>
      </c>
      <c r="E881" s="289">
        <f t="shared" si="27"/>
        <v>-6.7507911301084352E-3</v>
      </c>
      <c r="F881" s="14"/>
      <c r="G881" s="14"/>
    </row>
    <row r="882" spans="1:7" ht="14.25" customHeight="1" x14ac:dyDescent="0.3">
      <c r="A882" s="41">
        <v>45218</v>
      </c>
      <c r="B882" s="42">
        <v>3054.39990234375</v>
      </c>
      <c r="C882" s="42">
        <v>19624.69921875</v>
      </c>
      <c r="D882" s="289">
        <f t="shared" si="26"/>
        <v>-2.3588102112444267E-3</v>
      </c>
      <c r="E882" s="289">
        <f t="shared" si="27"/>
        <v>2.8893500148860366E-3</v>
      </c>
      <c r="F882" s="14"/>
      <c r="G882" s="14"/>
    </row>
    <row r="883" spans="1:7" ht="14.25" customHeight="1" x14ac:dyDescent="0.3">
      <c r="A883" s="41">
        <v>45219</v>
      </c>
      <c r="B883" s="42">
        <v>3012.35009765625</v>
      </c>
      <c r="C883" s="42">
        <v>19542.650390625</v>
      </c>
      <c r="D883" s="289">
        <f t="shared" si="26"/>
        <v>-4.1808960845936532E-3</v>
      </c>
      <c r="E883" s="289">
        <f t="shared" si="27"/>
        <v>-1.3766961115744433E-2</v>
      </c>
      <c r="F883" s="14"/>
      <c r="G883" s="14"/>
    </row>
    <row r="884" spans="1:7" ht="14.25" customHeight="1" x14ac:dyDescent="0.3">
      <c r="A884" s="41">
        <v>45222</v>
      </c>
      <c r="B884" s="42">
        <v>2958.30004882813</v>
      </c>
      <c r="C884" s="42">
        <v>19281.75</v>
      </c>
      <c r="D884" s="289">
        <f t="shared" si="26"/>
        <v>-1.3350307425555702E-2</v>
      </c>
      <c r="E884" s="289">
        <f t="shared" si="27"/>
        <v>-1.7942817758856606E-2</v>
      </c>
      <c r="F884" s="14"/>
      <c r="G884" s="14"/>
    </row>
    <row r="885" spans="1:7" ht="14.25" customHeight="1" x14ac:dyDescent="0.3">
      <c r="A885" s="41">
        <v>45224</v>
      </c>
      <c r="B885" s="42">
        <v>2916.10009765625</v>
      </c>
      <c r="C885" s="42">
        <v>19122.150390625</v>
      </c>
      <c r="D885" s="289">
        <f t="shared" si="26"/>
        <v>-8.2772367329210263E-3</v>
      </c>
      <c r="E885" s="289">
        <f t="shared" si="27"/>
        <v>-1.4264932723303928E-2</v>
      </c>
      <c r="F885" s="14"/>
      <c r="G885" s="14"/>
    </row>
    <row r="886" spans="1:7" ht="14.25" customHeight="1" x14ac:dyDescent="0.3">
      <c r="A886" s="41">
        <v>45225</v>
      </c>
      <c r="B886" s="42">
        <v>2864.60009765625</v>
      </c>
      <c r="C886" s="42">
        <v>18857.25</v>
      </c>
      <c r="D886" s="289">
        <f t="shared" si="26"/>
        <v>-1.385306491234754E-2</v>
      </c>
      <c r="E886" s="289">
        <f t="shared" si="27"/>
        <v>-1.7660573462958958E-2</v>
      </c>
      <c r="F886" s="14"/>
      <c r="G886" s="14"/>
    </row>
    <row r="887" spans="1:7" ht="14.25" customHeight="1" x14ac:dyDescent="0.3">
      <c r="A887" s="41">
        <v>45226</v>
      </c>
      <c r="B887" s="42">
        <v>2901.89990234375</v>
      </c>
      <c r="C887" s="42">
        <v>19047.25</v>
      </c>
      <c r="D887" s="289">
        <f t="shared" si="26"/>
        <v>1.007570032746026E-2</v>
      </c>
      <c r="E887" s="289">
        <f t="shared" si="27"/>
        <v>1.3020946525142496E-2</v>
      </c>
      <c r="F887" s="14"/>
      <c r="G887" s="14"/>
    </row>
    <row r="888" spans="1:7" ht="14.25" customHeight="1" x14ac:dyDescent="0.3">
      <c r="A888" s="41">
        <v>45229</v>
      </c>
      <c r="B888" s="42">
        <v>2926.35009765625</v>
      </c>
      <c r="C888" s="42">
        <v>19140.900390625</v>
      </c>
      <c r="D888" s="289">
        <f t="shared" si="26"/>
        <v>4.9167407696649118E-3</v>
      </c>
      <c r="E888" s="289">
        <f t="shared" si="27"/>
        <v>8.4255819067889075E-3</v>
      </c>
      <c r="F888" s="14"/>
      <c r="G888" s="14"/>
    </row>
    <row r="889" spans="1:7" ht="14.25" customHeight="1" x14ac:dyDescent="0.3">
      <c r="A889" s="41">
        <v>45230</v>
      </c>
      <c r="B889" s="42">
        <v>2929.05004882813</v>
      </c>
      <c r="C889" s="42">
        <v>19079.599609375</v>
      </c>
      <c r="D889" s="289">
        <f t="shared" si="26"/>
        <v>-3.2026069828995319E-3</v>
      </c>
      <c r="E889" s="289">
        <f t="shared" si="27"/>
        <v>9.2263436765219122E-4</v>
      </c>
      <c r="F889" s="14"/>
      <c r="G889" s="14"/>
    </row>
    <row r="890" spans="1:7" ht="14.25" customHeight="1" x14ac:dyDescent="0.3">
      <c r="A890" s="41">
        <v>45231</v>
      </c>
      <c r="B890" s="42">
        <v>2895.30004882813</v>
      </c>
      <c r="C890" s="42">
        <v>18989.150390625</v>
      </c>
      <c r="D890" s="289">
        <f t="shared" si="26"/>
        <v>-4.7406245729368791E-3</v>
      </c>
      <c r="E890" s="289">
        <f t="shared" si="27"/>
        <v>-1.1522507105504353E-2</v>
      </c>
      <c r="F890" s="14"/>
      <c r="G890" s="14"/>
    </row>
    <row r="891" spans="1:7" ht="14.25" customHeight="1" x14ac:dyDescent="0.3">
      <c r="A891" s="41">
        <v>45232</v>
      </c>
      <c r="B891" s="42">
        <v>2918.10009765625</v>
      </c>
      <c r="C891" s="42">
        <v>19133.25</v>
      </c>
      <c r="D891" s="289">
        <f t="shared" si="26"/>
        <v>7.5885232572670764E-3</v>
      </c>
      <c r="E891" s="289">
        <f t="shared" si="27"/>
        <v>7.8748483554746933E-3</v>
      </c>
      <c r="F891" s="14"/>
      <c r="G891" s="14"/>
    </row>
    <row r="892" spans="1:7" ht="14.25" customHeight="1" x14ac:dyDescent="0.3">
      <c r="A892" s="41">
        <v>45233</v>
      </c>
      <c r="B892" s="42">
        <v>2911.25</v>
      </c>
      <c r="C892" s="42">
        <v>19230.599609375</v>
      </c>
      <c r="D892" s="289">
        <f t="shared" si="26"/>
        <v>5.0879808383311777E-3</v>
      </c>
      <c r="E892" s="289">
        <f t="shared" si="27"/>
        <v>-2.3474512275133532E-3</v>
      </c>
      <c r="F892" s="14"/>
      <c r="G892" s="14"/>
    </row>
    <row r="893" spans="1:7" ht="14.25" customHeight="1" x14ac:dyDescent="0.3">
      <c r="A893" s="41">
        <v>45236</v>
      </c>
      <c r="B893" s="42">
        <v>2975.44995117188</v>
      </c>
      <c r="C893" s="42">
        <v>19411.75</v>
      </c>
      <c r="D893" s="289">
        <f t="shared" si="26"/>
        <v>9.4199033989916994E-3</v>
      </c>
      <c r="E893" s="289">
        <f t="shared" si="27"/>
        <v>2.2052366224776299E-2</v>
      </c>
      <c r="F893" s="14"/>
      <c r="G893" s="14"/>
    </row>
    <row r="894" spans="1:7" ht="14.25" customHeight="1" x14ac:dyDescent="0.3">
      <c r="A894" s="41">
        <v>45237</v>
      </c>
      <c r="B894" s="42">
        <v>2961.30004882813</v>
      </c>
      <c r="C894" s="42">
        <v>19406.69921875</v>
      </c>
      <c r="D894" s="289">
        <f t="shared" si="26"/>
        <v>-2.6019195847875644E-4</v>
      </c>
      <c r="E894" s="289">
        <f t="shared" si="27"/>
        <v>-4.7555504464718238E-3</v>
      </c>
      <c r="F894" s="14"/>
      <c r="G894" s="14"/>
    </row>
    <row r="895" spans="1:7" ht="14.25" customHeight="1" x14ac:dyDescent="0.3">
      <c r="A895" s="41">
        <v>45238</v>
      </c>
      <c r="B895" s="42">
        <v>2996.44995117188</v>
      </c>
      <c r="C895" s="42">
        <v>19443.5</v>
      </c>
      <c r="D895" s="289">
        <f t="shared" si="26"/>
        <v>1.8962926582818634E-3</v>
      </c>
      <c r="E895" s="289">
        <f t="shared" si="27"/>
        <v>1.1869753744697302E-2</v>
      </c>
      <c r="F895" s="14"/>
      <c r="G895" s="14"/>
    </row>
    <row r="896" spans="1:7" ht="14.25" customHeight="1" x14ac:dyDescent="0.3">
      <c r="A896" s="41">
        <v>45239</v>
      </c>
      <c r="B896" s="42">
        <v>3024.85009765625</v>
      </c>
      <c r="C896" s="42">
        <v>19395.30078125</v>
      </c>
      <c r="D896" s="289">
        <f t="shared" si="26"/>
        <v>-2.4789373698151053E-3</v>
      </c>
      <c r="E896" s="289">
        <f t="shared" si="27"/>
        <v>9.4779312009743398E-3</v>
      </c>
      <c r="F896" s="14"/>
      <c r="G896" s="14"/>
    </row>
    <row r="897" spans="1:7" ht="14.25" customHeight="1" x14ac:dyDescent="0.3">
      <c r="A897" s="41">
        <v>45240</v>
      </c>
      <c r="B897" s="42">
        <v>3033.25</v>
      </c>
      <c r="C897" s="42">
        <v>19425.349609375</v>
      </c>
      <c r="D897" s="289">
        <f t="shared" si="26"/>
        <v>1.5492839458333678E-3</v>
      </c>
      <c r="E897" s="289">
        <f t="shared" si="27"/>
        <v>2.7769648321609428E-3</v>
      </c>
      <c r="F897" s="14"/>
      <c r="G897" s="14"/>
    </row>
    <row r="898" spans="1:7" ht="14.25" customHeight="1" x14ac:dyDescent="0.3">
      <c r="A898" s="41">
        <v>45243</v>
      </c>
      <c r="B898" s="42">
        <v>3048.5</v>
      </c>
      <c r="C898" s="42">
        <v>19443.55078125</v>
      </c>
      <c r="D898" s="289">
        <f t="shared" si="26"/>
        <v>9.3698040143461864E-4</v>
      </c>
      <c r="E898" s="289">
        <f t="shared" si="27"/>
        <v>5.0276106486441931E-3</v>
      </c>
      <c r="F898" s="14"/>
      <c r="G898" s="14"/>
    </row>
    <row r="899" spans="1:7" ht="14.25" customHeight="1" x14ac:dyDescent="0.3">
      <c r="A899" s="41">
        <v>45245</v>
      </c>
      <c r="B899" s="42">
        <v>3064.94995117188</v>
      </c>
      <c r="C899" s="42">
        <v>19675.44921875</v>
      </c>
      <c r="D899" s="289">
        <f t="shared" ref="D899:D962" si="28">(C899-C898)/C898</f>
        <v>1.1926753508604336E-2</v>
      </c>
      <c r="E899" s="289">
        <f t="shared" ref="E899:E962" si="29">(B899-B898)/B898</f>
        <v>5.3960804237756285E-3</v>
      </c>
      <c r="F899" s="14"/>
      <c r="G899" s="14"/>
    </row>
    <row r="900" spans="1:7" ht="14.25" customHeight="1" x14ac:dyDescent="0.3">
      <c r="A900" s="41">
        <v>45246</v>
      </c>
      <c r="B900" s="42">
        <v>3051.14990234375</v>
      </c>
      <c r="C900" s="42">
        <v>19765.19921875</v>
      </c>
      <c r="D900" s="289">
        <f t="shared" si="28"/>
        <v>4.5615222809993819E-3</v>
      </c>
      <c r="E900" s="289">
        <f t="shared" si="29"/>
        <v>-4.5025364354982595E-3</v>
      </c>
      <c r="F900" s="14"/>
      <c r="G900" s="14"/>
    </row>
    <row r="901" spans="1:7" ht="14.25" customHeight="1" x14ac:dyDescent="0.3">
      <c r="A901" s="41">
        <v>45247</v>
      </c>
      <c r="B901" s="42">
        <v>3109</v>
      </c>
      <c r="C901" s="42">
        <v>19731.80078125</v>
      </c>
      <c r="D901" s="289">
        <f t="shared" si="28"/>
        <v>-1.6897597201204532E-3</v>
      </c>
      <c r="E901" s="289">
        <f t="shared" si="29"/>
        <v>1.8960096851292779E-2</v>
      </c>
      <c r="F901" s="14"/>
      <c r="G901" s="14"/>
    </row>
    <row r="902" spans="1:7" ht="14.25" customHeight="1" x14ac:dyDescent="0.3">
      <c r="A902" s="41">
        <v>45250</v>
      </c>
      <c r="B902" s="42">
        <v>3088.80004882813</v>
      </c>
      <c r="C902" s="42">
        <v>19694</v>
      </c>
      <c r="D902" s="289">
        <f t="shared" si="28"/>
        <v>-1.9157289123818803E-3</v>
      </c>
      <c r="E902" s="289">
        <f t="shared" si="29"/>
        <v>-6.4972502965165643E-3</v>
      </c>
      <c r="F902" s="14"/>
      <c r="G902" s="14"/>
    </row>
    <row r="903" spans="1:7" ht="14.25" customHeight="1" x14ac:dyDescent="0.3">
      <c r="A903" s="41">
        <v>45251</v>
      </c>
      <c r="B903" s="42">
        <v>3074.85009765625</v>
      </c>
      <c r="C903" s="42">
        <v>19783.400390625</v>
      </c>
      <c r="D903" s="289">
        <f t="shared" si="28"/>
        <v>4.5394734754239871E-3</v>
      </c>
      <c r="E903" s="289">
        <f t="shared" si="29"/>
        <v>-4.5163011368031152E-3</v>
      </c>
      <c r="F903" s="14"/>
      <c r="G903" s="14"/>
    </row>
    <row r="904" spans="1:7" ht="14.25" customHeight="1" x14ac:dyDescent="0.3">
      <c r="A904" s="41">
        <v>45252</v>
      </c>
      <c r="B904" s="42">
        <v>3082.30004882813</v>
      </c>
      <c r="C904" s="42">
        <v>19811.849609375</v>
      </c>
      <c r="D904" s="289">
        <f t="shared" si="28"/>
        <v>1.438034826585301E-3</v>
      </c>
      <c r="E904" s="289">
        <f t="shared" si="29"/>
        <v>2.4228664602409709E-3</v>
      </c>
      <c r="F904" s="14"/>
      <c r="G904" s="14"/>
    </row>
    <row r="905" spans="1:7" ht="14.25" customHeight="1" x14ac:dyDescent="0.3">
      <c r="A905" s="41">
        <v>45253</v>
      </c>
      <c r="B905" s="42">
        <v>3045.64990234375</v>
      </c>
      <c r="C905" s="42">
        <v>19802</v>
      </c>
      <c r="D905" s="289">
        <f t="shared" si="28"/>
        <v>-4.9715748752398909E-4</v>
      </c>
      <c r="E905" s="289">
        <f t="shared" si="29"/>
        <v>-1.1890518737237845E-2</v>
      </c>
      <c r="F905" s="14"/>
      <c r="G905" s="14"/>
    </row>
    <row r="906" spans="1:7" ht="14.25" customHeight="1" x14ac:dyDescent="0.3">
      <c r="A906" s="41">
        <v>45254</v>
      </c>
      <c r="B906" s="42">
        <v>3054.25</v>
      </c>
      <c r="C906" s="42">
        <v>19794.69921875</v>
      </c>
      <c r="D906" s="289">
        <f t="shared" si="28"/>
        <v>-3.6868908443591557E-4</v>
      </c>
      <c r="E906" s="289">
        <f t="shared" si="29"/>
        <v>2.8237315292318657E-3</v>
      </c>
      <c r="F906" s="14"/>
      <c r="G906" s="14"/>
    </row>
    <row r="907" spans="1:7" ht="14.25" customHeight="1" x14ac:dyDescent="0.3">
      <c r="A907" s="41">
        <v>45258</v>
      </c>
      <c r="B907" s="42">
        <v>3050</v>
      </c>
      <c r="C907" s="42">
        <v>19889.69921875</v>
      </c>
      <c r="D907" s="289">
        <f t="shared" si="28"/>
        <v>4.7992646389905125E-3</v>
      </c>
      <c r="E907" s="289">
        <f t="shared" si="29"/>
        <v>-1.3915036424654171E-3</v>
      </c>
      <c r="F907" s="14"/>
      <c r="G907" s="14"/>
    </row>
    <row r="908" spans="1:7" ht="14.25" customHeight="1" x14ac:dyDescent="0.3">
      <c r="A908" s="41">
        <v>45259</v>
      </c>
      <c r="B908" s="42">
        <v>3083.75</v>
      </c>
      <c r="C908" s="42">
        <v>20096.599609375</v>
      </c>
      <c r="D908" s="289">
        <f t="shared" si="28"/>
        <v>1.0402389113554579E-2</v>
      </c>
      <c r="E908" s="289">
        <f t="shared" si="29"/>
        <v>1.1065573770491803E-2</v>
      </c>
      <c r="F908" s="14"/>
      <c r="G908" s="14"/>
    </row>
    <row r="909" spans="1:7" ht="14.25" customHeight="1" x14ac:dyDescent="0.3">
      <c r="A909" s="41">
        <v>45260</v>
      </c>
      <c r="B909" s="42">
        <v>3109.19995117188</v>
      </c>
      <c r="C909" s="42">
        <v>20133.150390625</v>
      </c>
      <c r="D909" s="289">
        <f t="shared" si="28"/>
        <v>1.8187545137212753E-3</v>
      </c>
      <c r="E909" s="289">
        <f t="shared" si="29"/>
        <v>8.2529229580478314E-3</v>
      </c>
      <c r="F909" s="14"/>
      <c r="G909" s="14"/>
    </row>
    <row r="910" spans="1:7" ht="14.25" customHeight="1" x14ac:dyDescent="0.3">
      <c r="A910" s="41">
        <v>45261</v>
      </c>
      <c r="B910" s="42">
        <v>3190.64990234375</v>
      </c>
      <c r="C910" s="42">
        <v>20267.900390625</v>
      </c>
      <c r="D910" s="289">
        <f t="shared" si="28"/>
        <v>6.6929416105065368E-3</v>
      </c>
      <c r="E910" s="289">
        <f t="shared" si="29"/>
        <v>2.619643395439104E-2</v>
      </c>
      <c r="F910" s="14"/>
      <c r="G910" s="14"/>
    </row>
    <row r="911" spans="1:7" ht="14.25" customHeight="1" x14ac:dyDescent="0.3">
      <c r="A911" s="41">
        <v>45264</v>
      </c>
      <c r="B911" s="42">
        <v>3313.55004882813</v>
      </c>
      <c r="C911" s="42">
        <v>20686.80078125</v>
      </c>
      <c r="D911" s="289">
        <f t="shared" si="28"/>
        <v>2.0668169003769332E-2</v>
      </c>
      <c r="E911" s="289">
        <f t="shared" si="29"/>
        <v>3.8518844199766783E-2</v>
      </c>
      <c r="F911" s="14"/>
      <c r="G911" s="14"/>
    </row>
    <row r="912" spans="1:7" ht="14.25" customHeight="1" x14ac:dyDescent="0.3">
      <c r="A912" s="41">
        <v>45265</v>
      </c>
      <c r="B912" s="42">
        <v>3315.44995117188</v>
      </c>
      <c r="C912" s="42">
        <v>20855.099609375</v>
      </c>
      <c r="D912" s="289">
        <f t="shared" si="28"/>
        <v>8.1355657602475619E-3</v>
      </c>
      <c r="E912" s="289">
        <f t="shared" si="29"/>
        <v>5.7337366744224054E-4</v>
      </c>
      <c r="F912" s="14"/>
      <c r="G912" s="14"/>
    </row>
    <row r="913" spans="1:7" ht="14.25" customHeight="1" x14ac:dyDescent="0.3">
      <c r="A913" s="41">
        <v>45266</v>
      </c>
      <c r="B913" s="42">
        <v>3392.30004882813</v>
      </c>
      <c r="C913" s="42">
        <v>20937.69921875</v>
      </c>
      <c r="D913" s="289">
        <f t="shared" si="28"/>
        <v>3.9606432442005199E-3</v>
      </c>
      <c r="E913" s="289">
        <f t="shared" si="29"/>
        <v>2.3179387047928907E-2</v>
      </c>
      <c r="F913" s="14"/>
      <c r="G913" s="14"/>
    </row>
    <row r="914" spans="1:7" ht="14.25" customHeight="1" x14ac:dyDescent="0.3">
      <c r="A914" s="41">
        <v>45267</v>
      </c>
      <c r="B914" s="42">
        <v>3355.60009765625</v>
      </c>
      <c r="C914" s="42">
        <v>20901.150390625</v>
      </c>
      <c r="D914" s="289">
        <f t="shared" si="28"/>
        <v>-1.7455990623969808E-3</v>
      </c>
      <c r="E914" s="289">
        <f t="shared" si="29"/>
        <v>-1.0818604086792971E-2</v>
      </c>
      <c r="F914" s="14"/>
      <c r="G914" s="14"/>
    </row>
    <row r="915" spans="1:7" ht="14.25" customHeight="1" x14ac:dyDescent="0.3">
      <c r="A915" s="41">
        <v>45268</v>
      </c>
      <c r="B915" s="42">
        <v>3378.44995117188</v>
      </c>
      <c r="C915" s="42">
        <v>20969.400390625</v>
      </c>
      <c r="D915" s="289">
        <f t="shared" si="28"/>
        <v>3.2653705047073797E-3</v>
      </c>
      <c r="E915" s="289">
        <f t="shared" si="29"/>
        <v>6.8094686049120379E-3</v>
      </c>
      <c r="F915" s="14"/>
      <c r="G915" s="14"/>
    </row>
    <row r="916" spans="1:7" ht="14.25" customHeight="1" x14ac:dyDescent="0.3">
      <c r="A916" s="41">
        <v>45271</v>
      </c>
      <c r="B916" s="42">
        <v>3385.80004882813</v>
      </c>
      <c r="C916" s="42">
        <v>20997.099609375</v>
      </c>
      <c r="D916" s="289">
        <f t="shared" si="28"/>
        <v>1.3209351833628857E-3</v>
      </c>
      <c r="E916" s="289">
        <f t="shared" si="29"/>
        <v>2.1755828153382818E-3</v>
      </c>
      <c r="F916" s="14"/>
      <c r="G916" s="14"/>
    </row>
    <row r="917" spans="1:7" ht="14.25" customHeight="1" x14ac:dyDescent="0.3">
      <c r="A917" s="41">
        <v>45272</v>
      </c>
      <c r="B917" s="42">
        <v>3342.39990234375</v>
      </c>
      <c r="C917" s="42">
        <v>20906.400390625</v>
      </c>
      <c r="D917" s="289">
        <f t="shared" si="28"/>
        <v>-4.3196070141755995E-3</v>
      </c>
      <c r="E917" s="289">
        <f t="shared" si="29"/>
        <v>-1.2818283967891538E-2</v>
      </c>
      <c r="F917" s="14"/>
      <c r="G917" s="14"/>
    </row>
    <row r="918" spans="1:7" ht="14.25" customHeight="1" x14ac:dyDescent="0.3">
      <c r="A918" s="41">
        <v>45273</v>
      </c>
      <c r="B918" s="42">
        <v>3399.80004882813</v>
      </c>
      <c r="C918" s="42">
        <v>20926.349609375</v>
      </c>
      <c r="D918" s="289">
        <f t="shared" si="28"/>
        <v>9.5421585625738684E-4</v>
      </c>
      <c r="E918" s="289">
        <f t="shared" si="29"/>
        <v>1.7173332982725976E-2</v>
      </c>
      <c r="F918" s="14"/>
      <c r="G918" s="14"/>
    </row>
    <row r="919" spans="1:7" ht="14.25" customHeight="1" x14ac:dyDescent="0.3">
      <c r="A919" s="41">
        <v>45274</v>
      </c>
      <c r="B919" s="42">
        <v>3433.10009765625</v>
      </c>
      <c r="C919" s="42">
        <v>21182.69921875</v>
      </c>
      <c r="D919" s="289">
        <f t="shared" si="28"/>
        <v>1.2250087289956937E-2</v>
      </c>
      <c r="E919" s="289">
        <f t="shared" si="29"/>
        <v>9.7947080269023823E-3</v>
      </c>
      <c r="F919" s="14"/>
      <c r="G919" s="14"/>
    </row>
    <row r="920" spans="1:7" ht="14.25" customHeight="1" x14ac:dyDescent="0.3">
      <c r="A920" s="41">
        <v>45275</v>
      </c>
      <c r="B920" s="42">
        <v>3488</v>
      </c>
      <c r="C920" s="42">
        <v>21456.650390625</v>
      </c>
      <c r="D920" s="289">
        <f t="shared" si="28"/>
        <v>1.2932779200891942E-2</v>
      </c>
      <c r="E920" s="289">
        <f t="shared" si="29"/>
        <v>1.5991349154436167E-2</v>
      </c>
      <c r="F920" s="14"/>
      <c r="G920" s="14"/>
    </row>
    <row r="921" spans="1:7" ht="14.25" customHeight="1" x14ac:dyDescent="0.3">
      <c r="A921" s="41">
        <v>45278</v>
      </c>
      <c r="B921" s="42">
        <v>3491.60009765625</v>
      </c>
      <c r="C921" s="42">
        <v>21418.650390625</v>
      </c>
      <c r="D921" s="289">
        <f t="shared" si="28"/>
        <v>-1.7710126840955215E-3</v>
      </c>
      <c r="E921" s="289">
        <f t="shared" si="29"/>
        <v>1.0321380895212157E-3</v>
      </c>
      <c r="F921" s="14"/>
      <c r="G921" s="14"/>
    </row>
    <row r="922" spans="1:7" ht="14.25" customHeight="1" x14ac:dyDescent="0.3">
      <c r="A922" s="41">
        <v>45279</v>
      </c>
      <c r="B922" s="42">
        <v>3498.94995117188</v>
      </c>
      <c r="C922" s="42">
        <v>21453.099609375</v>
      </c>
      <c r="D922" s="289">
        <f t="shared" si="28"/>
        <v>1.6083748565725931E-3</v>
      </c>
      <c r="E922" s="289">
        <f t="shared" si="29"/>
        <v>2.1050101128601813E-3</v>
      </c>
      <c r="F922" s="14"/>
      <c r="G922" s="14"/>
    </row>
    <row r="923" spans="1:7" ht="14.25" customHeight="1" x14ac:dyDescent="0.3">
      <c r="A923" s="41">
        <v>45280</v>
      </c>
      <c r="B923" s="42">
        <v>3418.5</v>
      </c>
      <c r="C923" s="42">
        <v>21150.150390625</v>
      </c>
      <c r="D923" s="289">
        <f t="shared" si="28"/>
        <v>-1.412146609423336E-2</v>
      </c>
      <c r="E923" s="289">
        <f t="shared" si="29"/>
        <v>-2.2992598435120637E-2</v>
      </c>
      <c r="F923" s="14"/>
      <c r="G923" s="14"/>
    </row>
    <row r="924" spans="1:7" ht="14.25" customHeight="1" x14ac:dyDescent="0.3">
      <c r="A924" s="41">
        <v>45281</v>
      </c>
      <c r="B924" s="42">
        <v>3424.14990234375</v>
      </c>
      <c r="C924" s="42">
        <v>21255.05078125</v>
      </c>
      <c r="D924" s="289">
        <f t="shared" si="28"/>
        <v>4.9597940765233554E-3</v>
      </c>
      <c r="E924" s="289">
        <f t="shared" si="29"/>
        <v>1.6527431164984642E-3</v>
      </c>
      <c r="F924" s="14"/>
      <c r="G924" s="14"/>
    </row>
    <row r="925" spans="1:7" ht="14.25" customHeight="1" x14ac:dyDescent="0.3">
      <c r="A925" s="41">
        <v>45282</v>
      </c>
      <c r="B925" s="42">
        <v>3477.94995117188</v>
      </c>
      <c r="C925" s="42">
        <v>21349.400390625</v>
      </c>
      <c r="D925" s="289">
        <f t="shared" si="28"/>
        <v>4.4389265566107177E-3</v>
      </c>
      <c r="E925" s="289">
        <f t="shared" si="29"/>
        <v>1.5711943215834429E-2</v>
      </c>
      <c r="F925" s="14"/>
      <c r="G925" s="14"/>
    </row>
    <row r="926" spans="1:7" ht="14.25" customHeight="1" x14ac:dyDescent="0.3">
      <c r="A926" s="41">
        <v>45286</v>
      </c>
      <c r="B926" s="42">
        <v>3490.05004882813</v>
      </c>
      <c r="C926" s="42">
        <v>21441.349609375</v>
      </c>
      <c r="D926" s="289">
        <f t="shared" si="28"/>
        <v>4.3068759341071223E-3</v>
      </c>
      <c r="E926" s="289">
        <f t="shared" si="29"/>
        <v>3.479089068597127E-3</v>
      </c>
      <c r="F926" s="14"/>
      <c r="G926" s="14"/>
    </row>
    <row r="927" spans="1:7" ht="14.25" customHeight="1" x14ac:dyDescent="0.3">
      <c r="A927" s="41">
        <v>45287</v>
      </c>
      <c r="B927" s="42">
        <v>3544</v>
      </c>
      <c r="C927" s="42">
        <v>21654.75</v>
      </c>
      <c r="D927" s="289">
        <f t="shared" si="28"/>
        <v>9.9527499207276091E-3</v>
      </c>
      <c r="E927" s="289">
        <f t="shared" si="29"/>
        <v>1.5458217050493307E-2</v>
      </c>
      <c r="F927" s="14"/>
      <c r="G927" s="14"/>
    </row>
    <row r="928" spans="1:7" ht="14.25" customHeight="1" x14ac:dyDescent="0.3">
      <c r="A928" s="41">
        <v>45288</v>
      </c>
      <c r="B928" s="42">
        <v>3518.05004882813</v>
      </c>
      <c r="C928" s="42">
        <v>21778.69921875</v>
      </c>
      <c r="D928" s="289">
        <f t="shared" si="28"/>
        <v>5.7238813077962114E-3</v>
      </c>
      <c r="E928" s="289">
        <f t="shared" si="29"/>
        <v>-7.3222209852906311E-3</v>
      </c>
      <c r="F928" s="14"/>
      <c r="G928" s="14"/>
    </row>
    <row r="929" spans="1:7" ht="14.25" customHeight="1" x14ac:dyDescent="0.3">
      <c r="A929" s="41">
        <v>45289</v>
      </c>
      <c r="B929" s="42">
        <v>3526</v>
      </c>
      <c r="C929" s="42">
        <v>21731.400390625</v>
      </c>
      <c r="D929" s="289">
        <f t="shared" si="28"/>
        <v>-2.171793074045436E-3</v>
      </c>
      <c r="E929" s="289">
        <f t="shared" si="29"/>
        <v>2.2597606803570472E-3</v>
      </c>
      <c r="F929" s="14"/>
      <c r="G929" s="14"/>
    </row>
    <row r="930" spans="1:7" ht="14.25" customHeight="1" x14ac:dyDescent="0.3">
      <c r="A930" s="41">
        <v>45292</v>
      </c>
      <c r="B930" s="42">
        <v>3525.44995117188</v>
      </c>
      <c r="C930" s="42">
        <v>21741.900390625</v>
      </c>
      <c r="D930" s="289">
        <f t="shared" si="28"/>
        <v>4.8317180721265139E-4</v>
      </c>
      <c r="E930" s="289">
        <f t="shared" si="29"/>
        <v>-1.559979660011338E-4</v>
      </c>
      <c r="F930" s="14"/>
      <c r="G930" s="14"/>
    </row>
    <row r="931" spans="1:7" ht="14.25" customHeight="1" x14ac:dyDescent="0.3">
      <c r="A931" s="41">
        <v>45293</v>
      </c>
      <c r="B931" s="42">
        <v>3438.10009765625</v>
      </c>
      <c r="C931" s="42">
        <v>21665.80078125</v>
      </c>
      <c r="D931" s="289">
        <f t="shared" si="28"/>
        <v>-3.5001360510240297E-3</v>
      </c>
      <c r="E931" s="289">
        <f t="shared" si="29"/>
        <v>-2.4776937618017924E-2</v>
      </c>
      <c r="F931" s="14"/>
      <c r="G931" s="14"/>
    </row>
    <row r="932" spans="1:7" ht="14.25" customHeight="1" x14ac:dyDescent="0.3">
      <c r="A932" s="41">
        <v>45294</v>
      </c>
      <c r="B932" s="42">
        <v>3440.35009765625</v>
      </c>
      <c r="C932" s="42">
        <v>21517.349609375</v>
      </c>
      <c r="D932" s="289">
        <f t="shared" si="28"/>
        <v>-6.8518663756694607E-3</v>
      </c>
      <c r="E932" s="289">
        <f t="shared" si="29"/>
        <v>6.5443120796099654E-4</v>
      </c>
      <c r="F932" s="14"/>
      <c r="G932" s="14"/>
    </row>
    <row r="933" spans="1:7" ht="14.25" customHeight="1" x14ac:dyDescent="0.3">
      <c r="A933" s="41">
        <v>45295</v>
      </c>
      <c r="B933" s="42">
        <v>3458.69995117188</v>
      </c>
      <c r="C933" s="42">
        <v>21658.599609375</v>
      </c>
      <c r="D933" s="289">
        <f t="shared" si="28"/>
        <v>6.5644701863494422E-3</v>
      </c>
      <c r="E933" s="289">
        <f t="shared" si="29"/>
        <v>5.3337169168134668E-3</v>
      </c>
      <c r="F933" s="14"/>
      <c r="G933" s="14"/>
    </row>
    <row r="934" spans="1:7" ht="14.25" customHeight="1" x14ac:dyDescent="0.3">
      <c r="A934" s="41">
        <v>45296</v>
      </c>
      <c r="B934" s="42">
        <v>3521.89990234375</v>
      </c>
      <c r="C934" s="42">
        <v>21710.80078125</v>
      </c>
      <c r="D934" s="289">
        <f t="shared" si="28"/>
        <v>2.4101822286056087E-3</v>
      </c>
      <c r="E934" s="289">
        <f t="shared" si="29"/>
        <v>1.8272747582644897E-2</v>
      </c>
      <c r="F934" s="14"/>
      <c r="G934" s="14"/>
    </row>
    <row r="935" spans="1:7" ht="14.25" customHeight="1" x14ac:dyDescent="0.3">
      <c r="A935" s="41">
        <v>45299</v>
      </c>
      <c r="B935" s="42">
        <v>3501.10009765625</v>
      </c>
      <c r="C935" s="42">
        <v>21513</v>
      </c>
      <c r="D935" s="289">
        <f t="shared" si="28"/>
        <v>-9.1107086856430358E-3</v>
      </c>
      <c r="E935" s="289">
        <f t="shared" si="29"/>
        <v>-5.9058477708745123E-3</v>
      </c>
      <c r="F935" s="14"/>
      <c r="G935" s="14"/>
    </row>
    <row r="936" spans="1:7" ht="14.25" customHeight="1" x14ac:dyDescent="0.3">
      <c r="A936" s="41">
        <v>45300</v>
      </c>
      <c r="B936" s="42">
        <v>3555.94995117188</v>
      </c>
      <c r="C936" s="42">
        <v>21544.849609375</v>
      </c>
      <c r="D936" s="289">
        <f t="shared" si="28"/>
        <v>1.4804820050667038E-3</v>
      </c>
      <c r="E936" s="289">
        <f t="shared" si="29"/>
        <v>1.5666462536260608E-2</v>
      </c>
      <c r="F936" s="14"/>
      <c r="G936" s="14"/>
    </row>
    <row r="937" spans="1:7" ht="14.25" customHeight="1" x14ac:dyDescent="0.3">
      <c r="A937" s="41">
        <v>45301</v>
      </c>
      <c r="B937" s="42">
        <v>3545.5</v>
      </c>
      <c r="C937" s="42">
        <v>21618.69921875</v>
      </c>
      <c r="D937" s="289">
        <f t="shared" si="28"/>
        <v>3.4277152411806657E-3</v>
      </c>
      <c r="E937" s="289">
        <f t="shared" si="29"/>
        <v>-2.9387227928886267E-3</v>
      </c>
      <c r="F937" s="14"/>
      <c r="G937" s="14"/>
    </row>
    <row r="938" spans="1:7" ht="14.25" customHeight="1" x14ac:dyDescent="0.3">
      <c r="A938" s="41">
        <v>45302</v>
      </c>
      <c r="B938" s="42">
        <v>3504.85009765625</v>
      </c>
      <c r="C938" s="42">
        <v>21647.19921875</v>
      </c>
      <c r="D938" s="289">
        <f t="shared" si="28"/>
        <v>1.3183031833516521E-3</v>
      </c>
      <c r="E938" s="289">
        <f t="shared" si="29"/>
        <v>-1.1465210081441263E-2</v>
      </c>
      <c r="F938" s="14"/>
      <c r="G938" s="14"/>
    </row>
    <row r="939" spans="1:7" ht="14.25" customHeight="1" x14ac:dyDescent="0.3">
      <c r="A939" s="41">
        <v>45303</v>
      </c>
      <c r="B939" s="42">
        <v>3568.80004882813</v>
      </c>
      <c r="C939" s="42">
        <v>21894.55078125</v>
      </c>
      <c r="D939" s="289">
        <f t="shared" si="28"/>
        <v>1.1426492637705911E-2</v>
      </c>
      <c r="E939" s="289">
        <f t="shared" si="29"/>
        <v>1.8246130188176769E-2</v>
      </c>
      <c r="F939" s="14"/>
      <c r="G939" s="14"/>
    </row>
    <row r="940" spans="1:7" ht="14.25" customHeight="1" x14ac:dyDescent="0.3">
      <c r="A940" s="41">
        <v>45306</v>
      </c>
      <c r="B940" s="42">
        <v>3543.05004882813</v>
      </c>
      <c r="C940" s="42">
        <v>22097.44921875</v>
      </c>
      <c r="D940" s="289">
        <f t="shared" si="28"/>
        <v>9.2670746948486215E-3</v>
      </c>
      <c r="E940" s="289">
        <f t="shared" si="29"/>
        <v>-7.2153103697853308E-3</v>
      </c>
      <c r="F940" s="14"/>
      <c r="G940" s="14"/>
    </row>
    <row r="941" spans="1:7" ht="14.25" customHeight="1" x14ac:dyDescent="0.3">
      <c r="A941" s="41">
        <v>45307</v>
      </c>
      <c r="B941" s="42">
        <v>3573.5</v>
      </c>
      <c r="C941" s="42">
        <v>22032.30078125</v>
      </c>
      <c r="D941" s="289">
        <f t="shared" si="28"/>
        <v>-2.9482333845447023E-3</v>
      </c>
      <c r="E941" s="289">
        <f t="shared" si="29"/>
        <v>8.5942763303446332E-3</v>
      </c>
      <c r="F941" s="14"/>
      <c r="G941" s="14"/>
    </row>
    <row r="942" spans="1:7" ht="14.25" customHeight="1" x14ac:dyDescent="0.3">
      <c r="A942" s="41">
        <v>45308</v>
      </c>
      <c r="B942" s="42">
        <v>3570.94995117188</v>
      </c>
      <c r="C942" s="42">
        <v>21571.94921875</v>
      </c>
      <c r="D942" s="289">
        <f t="shared" si="28"/>
        <v>-2.0894393512082492E-2</v>
      </c>
      <c r="E942" s="289">
        <f t="shared" si="29"/>
        <v>-7.1359978399888001E-4</v>
      </c>
      <c r="F942" s="14"/>
      <c r="G942" s="14"/>
    </row>
    <row r="943" spans="1:7" ht="14.25" customHeight="1" x14ac:dyDescent="0.3">
      <c r="A943" s="41">
        <v>45309</v>
      </c>
      <c r="B943" s="42">
        <v>3596</v>
      </c>
      <c r="C943" s="42">
        <v>21462.25</v>
      </c>
      <c r="D943" s="289">
        <f t="shared" si="28"/>
        <v>-5.0852715087355742E-3</v>
      </c>
      <c r="E943" s="289">
        <f t="shared" si="29"/>
        <v>7.0149537715865533E-3</v>
      </c>
      <c r="F943" s="14"/>
      <c r="G943" s="14"/>
    </row>
    <row r="944" spans="1:7" ht="14.25" customHeight="1" x14ac:dyDescent="0.3">
      <c r="A944" s="41">
        <v>45310</v>
      </c>
      <c r="B944" s="42">
        <v>3646</v>
      </c>
      <c r="C944" s="42">
        <v>21622.400390625</v>
      </c>
      <c r="D944" s="289">
        <f t="shared" si="28"/>
        <v>7.4619571864552878E-3</v>
      </c>
      <c r="E944" s="289">
        <f t="shared" si="29"/>
        <v>1.3904338153503892E-2</v>
      </c>
      <c r="F944" s="14"/>
      <c r="G944" s="14"/>
    </row>
    <row r="945" spans="1:7" ht="14.25" customHeight="1" x14ac:dyDescent="0.3">
      <c r="A945" s="41">
        <v>45314</v>
      </c>
      <c r="B945" s="42">
        <v>3551</v>
      </c>
      <c r="C945" s="42">
        <v>21238.80078125</v>
      </c>
      <c r="D945" s="289">
        <f t="shared" si="28"/>
        <v>-1.7740842942734536E-2</v>
      </c>
      <c r="E945" s="289">
        <f t="shared" si="29"/>
        <v>-2.6055951727921009E-2</v>
      </c>
      <c r="F945" s="14"/>
      <c r="G945" s="14"/>
    </row>
    <row r="946" spans="1:7" ht="14.25" customHeight="1" x14ac:dyDescent="0.3">
      <c r="A946" s="41">
        <v>45315</v>
      </c>
      <c r="B946" s="42">
        <v>3589.19995117188</v>
      </c>
      <c r="C946" s="42">
        <v>21453.94921875</v>
      </c>
      <c r="D946" s="289">
        <f t="shared" si="28"/>
        <v>1.0129971071150917E-2</v>
      </c>
      <c r="E946" s="289">
        <f t="shared" si="29"/>
        <v>1.0757519338744016E-2</v>
      </c>
      <c r="F946" s="14"/>
      <c r="G946" s="14"/>
    </row>
    <row r="947" spans="1:7" ht="14.25" customHeight="1" x14ac:dyDescent="0.3">
      <c r="A947" s="41">
        <v>45316</v>
      </c>
      <c r="B947" s="42">
        <v>3593.44995117188</v>
      </c>
      <c r="C947" s="42">
        <v>21352.599609375</v>
      </c>
      <c r="D947" s="289">
        <f t="shared" si="28"/>
        <v>-4.7240537554001476E-3</v>
      </c>
      <c r="E947" s="289">
        <f t="shared" si="29"/>
        <v>1.1841078953019511E-3</v>
      </c>
      <c r="F947" s="14"/>
      <c r="G947" s="14"/>
    </row>
    <row r="948" spans="1:7" ht="14.25" customHeight="1" x14ac:dyDescent="0.3">
      <c r="A948" s="41">
        <v>45320</v>
      </c>
      <c r="B948" s="42">
        <v>3708</v>
      </c>
      <c r="C948" s="42">
        <v>21737.599609375</v>
      </c>
      <c r="D948" s="289">
        <f t="shared" si="28"/>
        <v>1.8030591452244681E-2</v>
      </c>
      <c r="E948" s="289">
        <f t="shared" si="29"/>
        <v>3.1877457703498403E-2</v>
      </c>
      <c r="F948" s="14"/>
      <c r="G948" s="14"/>
    </row>
    <row r="949" spans="1:7" ht="14.25" customHeight="1" x14ac:dyDescent="0.3">
      <c r="A949" s="41">
        <v>45321</v>
      </c>
      <c r="B949" s="42">
        <v>3633.30004882813</v>
      </c>
      <c r="C949" s="42">
        <v>21522.099609375</v>
      </c>
      <c r="D949" s="289">
        <f t="shared" si="28"/>
        <v>-9.9136981024831768E-3</v>
      </c>
      <c r="E949" s="289">
        <f t="shared" si="29"/>
        <v>-2.0145617899641314E-2</v>
      </c>
      <c r="F949" s="14"/>
      <c r="G949" s="14"/>
    </row>
    <row r="950" spans="1:7" ht="14.25" customHeight="1" x14ac:dyDescent="0.3">
      <c r="A950" s="41">
        <v>45322</v>
      </c>
      <c r="B950" s="42">
        <v>3479.75</v>
      </c>
      <c r="C950" s="42">
        <v>21725.69921875</v>
      </c>
      <c r="D950" s="289">
        <f t="shared" si="28"/>
        <v>9.4600254190029057E-3</v>
      </c>
      <c r="E950" s="289">
        <f t="shared" si="29"/>
        <v>-4.2261868484452701E-2</v>
      </c>
      <c r="F950" s="14"/>
      <c r="G950" s="14"/>
    </row>
    <row r="951" spans="1:7" ht="14.25" customHeight="1" x14ac:dyDescent="0.3">
      <c r="A951" s="41">
        <v>45323</v>
      </c>
      <c r="B951" s="42">
        <v>3398</v>
      </c>
      <c r="C951" s="42">
        <v>21697.44921875</v>
      </c>
      <c r="D951" s="289">
        <f t="shared" si="28"/>
        <v>-1.3003033741542051E-3</v>
      </c>
      <c r="E951" s="289">
        <f t="shared" si="29"/>
        <v>-2.3493067030677491E-2</v>
      </c>
      <c r="F951" s="14"/>
      <c r="G951" s="14"/>
    </row>
    <row r="952" spans="1:7" ht="14.25" customHeight="1" x14ac:dyDescent="0.3">
      <c r="A952" s="41">
        <v>45324</v>
      </c>
      <c r="B952" s="42">
        <v>3376.05004882813</v>
      </c>
      <c r="C952" s="42">
        <v>21853.80078125</v>
      </c>
      <c r="D952" s="289">
        <f t="shared" si="28"/>
        <v>7.2059881750933062E-3</v>
      </c>
      <c r="E952" s="289">
        <f t="shared" si="29"/>
        <v>-6.4596677963125364E-3</v>
      </c>
      <c r="F952" s="14"/>
      <c r="G952" s="14"/>
    </row>
    <row r="953" spans="1:7" ht="14.25" customHeight="1" x14ac:dyDescent="0.3">
      <c r="A953" s="41">
        <v>45327</v>
      </c>
      <c r="B953" s="42">
        <v>3341.75</v>
      </c>
      <c r="C953" s="42">
        <v>21771.69921875</v>
      </c>
      <c r="D953" s="289">
        <f t="shared" si="28"/>
        <v>-3.7568550808077758E-3</v>
      </c>
      <c r="E953" s="289">
        <f t="shared" si="29"/>
        <v>-1.0159816451783939E-2</v>
      </c>
      <c r="F953" s="14"/>
      <c r="G953" s="14"/>
    </row>
    <row r="954" spans="1:7" ht="14.25" customHeight="1" x14ac:dyDescent="0.3">
      <c r="A954" s="41">
        <v>45328</v>
      </c>
      <c r="B954" s="42">
        <v>3424.25</v>
      </c>
      <c r="C954" s="42">
        <v>21929.400390625</v>
      </c>
      <c r="D954" s="289">
        <f t="shared" si="28"/>
        <v>7.243402101531249E-3</v>
      </c>
      <c r="E954" s="289">
        <f t="shared" si="29"/>
        <v>2.4687663649285554E-2</v>
      </c>
      <c r="F954" s="14"/>
      <c r="G954" s="14"/>
    </row>
    <row r="955" spans="1:7" ht="14.25" customHeight="1" x14ac:dyDescent="0.3">
      <c r="A955" s="41">
        <v>45329</v>
      </c>
      <c r="B955" s="42">
        <v>3394.69995117188</v>
      </c>
      <c r="C955" s="42">
        <v>21930.5</v>
      </c>
      <c r="D955" s="289">
        <f t="shared" si="28"/>
        <v>5.0143157378351857E-5</v>
      </c>
      <c r="E955" s="289">
        <f t="shared" si="29"/>
        <v>-8.6296411851120684E-3</v>
      </c>
      <c r="F955" s="14"/>
      <c r="G955" s="14"/>
    </row>
    <row r="956" spans="1:7" ht="14.25" customHeight="1" x14ac:dyDescent="0.3">
      <c r="A956" s="41">
        <v>45330</v>
      </c>
      <c r="B956" s="42">
        <v>3335.5</v>
      </c>
      <c r="C956" s="42">
        <v>21717.94921875</v>
      </c>
      <c r="D956" s="289">
        <f t="shared" si="28"/>
        <v>-9.6920171108729851E-3</v>
      </c>
      <c r="E956" s="289">
        <f t="shared" si="29"/>
        <v>-1.7438934817035498E-2</v>
      </c>
      <c r="F956" s="14"/>
      <c r="G956" s="14"/>
    </row>
    <row r="957" spans="1:7" ht="14.25" customHeight="1" x14ac:dyDescent="0.3">
      <c r="A957" s="41">
        <v>45331</v>
      </c>
      <c r="B957" s="42">
        <v>3324.55004882813</v>
      </c>
      <c r="C957" s="42">
        <v>21782.5</v>
      </c>
      <c r="D957" s="289">
        <f t="shared" si="28"/>
        <v>2.9722318898448593E-3</v>
      </c>
      <c r="E957" s="289">
        <f t="shared" si="29"/>
        <v>-3.2828514980872427E-3</v>
      </c>
      <c r="F957" s="14"/>
      <c r="G957" s="14"/>
    </row>
    <row r="958" spans="1:7" ht="14.25" customHeight="1" x14ac:dyDescent="0.3">
      <c r="A958" s="41">
        <v>45334</v>
      </c>
      <c r="B958" s="42">
        <v>3299.55004882813</v>
      </c>
      <c r="C958" s="42">
        <v>21616.05078125</v>
      </c>
      <c r="D958" s="289">
        <f t="shared" si="28"/>
        <v>-7.6414194307356824E-3</v>
      </c>
      <c r="E958" s="289">
        <f t="shared" si="29"/>
        <v>-7.5198146013209354E-3</v>
      </c>
      <c r="F958" s="14"/>
      <c r="G958" s="14"/>
    </row>
    <row r="959" spans="1:7" ht="14.25" customHeight="1" x14ac:dyDescent="0.3">
      <c r="A959" s="41">
        <v>45335</v>
      </c>
      <c r="B959" s="42">
        <v>3321.5</v>
      </c>
      <c r="C959" s="42">
        <v>21743.25</v>
      </c>
      <c r="D959" s="289">
        <f t="shared" si="28"/>
        <v>5.8844800115076526E-3</v>
      </c>
      <c r="E959" s="289">
        <f t="shared" si="29"/>
        <v>6.6524074031444847E-3</v>
      </c>
      <c r="F959" s="14"/>
      <c r="G959" s="14"/>
    </row>
    <row r="960" spans="1:7" ht="14.25" customHeight="1" x14ac:dyDescent="0.3">
      <c r="A960" s="41">
        <v>45336</v>
      </c>
      <c r="B960" s="42">
        <v>3309</v>
      </c>
      <c r="C960" s="42">
        <v>21840.05078125</v>
      </c>
      <c r="D960" s="289">
        <f t="shared" si="28"/>
        <v>4.4519922849619994E-3</v>
      </c>
      <c r="E960" s="289">
        <f t="shared" si="29"/>
        <v>-3.7633599277434892E-3</v>
      </c>
      <c r="F960" s="14"/>
      <c r="G960" s="14"/>
    </row>
    <row r="961" spans="1:7" ht="14.25" customHeight="1" x14ac:dyDescent="0.3">
      <c r="A961" s="41">
        <v>45337</v>
      </c>
      <c r="B961" s="42">
        <v>3300.30004882813</v>
      </c>
      <c r="C961" s="42">
        <v>21910.75</v>
      </c>
      <c r="D961" s="289">
        <f t="shared" si="28"/>
        <v>3.2371361888359849E-3</v>
      </c>
      <c r="E961" s="289">
        <f t="shared" si="29"/>
        <v>-2.6291783535418549E-3</v>
      </c>
      <c r="F961" s="14"/>
      <c r="G961" s="14"/>
    </row>
    <row r="962" spans="1:7" ht="14.25" customHeight="1" x14ac:dyDescent="0.3">
      <c r="A962" s="41">
        <v>45338</v>
      </c>
      <c r="B962" s="42">
        <v>3386.75</v>
      </c>
      <c r="C962" s="42">
        <v>22040.69921875</v>
      </c>
      <c r="D962" s="289">
        <f t="shared" si="28"/>
        <v>5.9308430222607626E-3</v>
      </c>
      <c r="E962" s="289">
        <f t="shared" si="29"/>
        <v>2.6194573188145918E-2</v>
      </c>
      <c r="F962" s="14"/>
      <c r="G962" s="14"/>
    </row>
    <row r="963" spans="1:7" ht="14.25" customHeight="1" x14ac:dyDescent="0.3">
      <c r="A963" s="41">
        <v>45341</v>
      </c>
      <c r="B963" s="42">
        <v>3339.85009765625</v>
      </c>
      <c r="C963" s="42">
        <v>22122.25</v>
      </c>
      <c r="D963" s="289">
        <f t="shared" ref="D963:D1026" si="30">(C963-C962)/C962</f>
        <v>3.7000088082788604E-3</v>
      </c>
      <c r="E963" s="289">
        <f t="shared" ref="E963:E1026" si="31">(B963-B962)/B962</f>
        <v>-1.3848055611943603E-2</v>
      </c>
      <c r="F963" s="14"/>
      <c r="G963" s="14"/>
    </row>
    <row r="964" spans="1:7" ht="14.25" customHeight="1" x14ac:dyDescent="0.3">
      <c r="A964" s="41">
        <v>45342</v>
      </c>
      <c r="B964" s="42">
        <v>3356.75</v>
      </c>
      <c r="C964" s="42">
        <v>22196.94921875</v>
      </c>
      <c r="D964" s="289">
        <f t="shared" si="30"/>
        <v>3.3766555730090748E-3</v>
      </c>
      <c r="E964" s="289">
        <f t="shared" si="31"/>
        <v>5.0600781021907411E-3</v>
      </c>
      <c r="F964" s="14"/>
      <c r="G964" s="14"/>
    </row>
    <row r="965" spans="1:7" ht="14.25" customHeight="1" x14ac:dyDescent="0.3">
      <c r="A965" s="41">
        <v>45343</v>
      </c>
      <c r="B965" s="42">
        <v>3296.39990234375</v>
      </c>
      <c r="C965" s="42">
        <v>22055.05078125</v>
      </c>
      <c r="D965" s="289">
        <f t="shared" si="30"/>
        <v>-6.3927000103301077E-3</v>
      </c>
      <c r="E965" s="289">
        <f t="shared" si="31"/>
        <v>-1.7978728727563863E-2</v>
      </c>
      <c r="F965" s="14"/>
      <c r="G965" s="14"/>
    </row>
    <row r="966" spans="1:7" ht="14.25" customHeight="1" x14ac:dyDescent="0.3">
      <c r="A966" s="41">
        <v>45344</v>
      </c>
      <c r="B966" s="42">
        <v>3363.75</v>
      </c>
      <c r="C966" s="42">
        <v>22217.44921875</v>
      </c>
      <c r="D966" s="289">
        <f t="shared" si="30"/>
        <v>7.3633218581415499E-3</v>
      </c>
      <c r="E966" s="289">
        <f t="shared" si="31"/>
        <v>2.0431409917335542E-2</v>
      </c>
      <c r="F966" s="14"/>
      <c r="G966" s="14"/>
    </row>
    <row r="967" spans="1:7" ht="14.25" customHeight="1" x14ac:dyDescent="0.3">
      <c r="A967" s="41">
        <v>45345</v>
      </c>
      <c r="B967" s="42">
        <v>3387.94995117188</v>
      </c>
      <c r="C967" s="42">
        <v>22212.69921875</v>
      </c>
      <c r="D967" s="289">
        <f t="shared" si="30"/>
        <v>-2.1379592019012364E-4</v>
      </c>
      <c r="E967" s="289">
        <f t="shared" si="31"/>
        <v>7.1943370261999262E-3</v>
      </c>
      <c r="F967" s="14"/>
      <c r="G967" s="14"/>
    </row>
    <row r="968" spans="1:7" ht="14.25" customHeight="1" x14ac:dyDescent="0.3">
      <c r="A968" s="41">
        <v>45348</v>
      </c>
      <c r="B968" s="42">
        <v>3470.14990234375</v>
      </c>
      <c r="C968" s="42">
        <v>22122.05078125</v>
      </c>
      <c r="D968" s="289">
        <f t="shared" si="30"/>
        <v>-4.0809285088361791E-3</v>
      </c>
      <c r="E968" s="289">
        <f t="shared" si="31"/>
        <v>2.4262445536846648E-2</v>
      </c>
      <c r="F968" s="14"/>
      <c r="G968" s="14"/>
    </row>
    <row r="969" spans="1:7" ht="14.25" customHeight="1" x14ac:dyDescent="0.3">
      <c r="A969" s="41">
        <v>45349</v>
      </c>
      <c r="B969" s="42">
        <v>3506.44995117188</v>
      </c>
      <c r="C969" s="42">
        <v>22198.349609375</v>
      </c>
      <c r="D969" s="289">
        <f t="shared" si="30"/>
        <v>3.4489943486464033E-3</v>
      </c>
      <c r="E969" s="289">
        <f t="shared" si="31"/>
        <v>1.0460657276970322E-2</v>
      </c>
      <c r="F969" s="14"/>
      <c r="G969" s="14"/>
    </row>
    <row r="970" spans="1:7" ht="14.25" customHeight="1" x14ac:dyDescent="0.3">
      <c r="A970" s="41">
        <v>45350</v>
      </c>
      <c r="B970" s="42">
        <v>3470.19995117188</v>
      </c>
      <c r="C970" s="42">
        <v>21951.150390625</v>
      </c>
      <c r="D970" s="289">
        <f t="shared" si="30"/>
        <v>-1.1135927809948569E-2</v>
      </c>
      <c r="E970" s="289">
        <f t="shared" si="31"/>
        <v>-1.0338091375832983E-2</v>
      </c>
      <c r="F970" s="14"/>
      <c r="G970" s="14"/>
    </row>
    <row r="971" spans="1:7" ht="14.25" customHeight="1" x14ac:dyDescent="0.3">
      <c r="A971" s="41">
        <v>45351</v>
      </c>
      <c r="B971" s="42">
        <v>3477.55004882813</v>
      </c>
      <c r="C971" s="42">
        <v>21982.80078125</v>
      </c>
      <c r="D971" s="289">
        <f t="shared" si="30"/>
        <v>1.4418556686904846E-3</v>
      </c>
      <c r="E971" s="289">
        <f t="shared" si="31"/>
        <v>2.1180617139274311E-3</v>
      </c>
      <c r="F971" s="14"/>
      <c r="G971" s="14"/>
    </row>
    <row r="972" spans="1:7" ht="14.25" customHeight="1" x14ac:dyDescent="0.3">
      <c r="A972" s="41">
        <v>45352</v>
      </c>
      <c r="B972" s="42">
        <v>3633.5</v>
      </c>
      <c r="C972" s="42">
        <v>22338.75</v>
      </c>
      <c r="D972" s="289">
        <f t="shared" si="30"/>
        <v>1.6192168700068607E-2</v>
      </c>
      <c r="E972" s="289">
        <f t="shared" si="31"/>
        <v>4.4844775483367162E-2</v>
      </c>
      <c r="F972" s="14"/>
      <c r="G972" s="14"/>
    </row>
    <row r="973" spans="1:7" ht="14.25" customHeight="1" x14ac:dyDescent="0.3">
      <c r="A973" s="41">
        <v>45355</v>
      </c>
      <c r="B973" s="42">
        <v>3644.44995117188</v>
      </c>
      <c r="C973" s="42">
        <v>22405.599609375</v>
      </c>
      <c r="D973" s="289">
        <f t="shared" si="30"/>
        <v>2.9925402887359411E-3</v>
      </c>
      <c r="E973" s="289">
        <f t="shared" si="31"/>
        <v>3.0136097899766071E-3</v>
      </c>
      <c r="F973" s="14"/>
      <c r="G973" s="14"/>
    </row>
    <row r="974" spans="1:7" ht="14.25" customHeight="1" x14ac:dyDescent="0.3">
      <c r="A974" s="41">
        <v>45356</v>
      </c>
      <c r="B974" s="42">
        <v>3612.60009765625</v>
      </c>
      <c r="C974" s="42">
        <v>22356.30078125</v>
      </c>
      <c r="D974" s="289">
        <f t="shared" si="30"/>
        <v>-2.2002905070379049E-3</v>
      </c>
      <c r="E974" s="289">
        <f t="shared" si="31"/>
        <v>-8.7392758694322635E-3</v>
      </c>
      <c r="F974" s="14"/>
      <c r="G974" s="14"/>
    </row>
    <row r="975" spans="1:7" ht="14.25" customHeight="1" x14ac:dyDescent="0.3">
      <c r="A975" s="41">
        <v>45357</v>
      </c>
      <c r="B975" s="42">
        <v>3642.19995117188</v>
      </c>
      <c r="C975" s="42">
        <v>22474.05078125</v>
      </c>
      <c r="D975" s="289">
        <f t="shared" si="30"/>
        <v>5.2669715420341689E-3</v>
      </c>
      <c r="E975" s="289">
        <f t="shared" si="31"/>
        <v>8.1935040456964855E-3</v>
      </c>
      <c r="F975" s="14"/>
      <c r="G975" s="14"/>
    </row>
    <row r="976" spans="1:7" ht="14.25" customHeight="1" x14ac:dyDescent="0.3">
      <c r="A976" s="41">
        <v>45358</v>
      </c>
      <c r="B976" s="42">
        <v>3676.94995117188</v>
      </c>
      <c r="C976" s="42">
        <v>22493.55078125</v>
      </c>
      <c r="D976" s="289">
        <f t="shared" si="30"/>
        <v>8.6766734621195941E-4</v>
      </c>
      <c r="E976" s="289">
        <f t="shared" si="31"/>
        <v>9.5409369243495724E-3</v>
      </c>
      <c r="F976" s="14"/>
      <c r="G976" s="14"/>
    </row>
    <row r="977" spans="1:7" ht="14.25" customHeight="1" x14ac:dyDescent="0.3">
      <c r="A977" s="41">
        <v>45362</v>
      </c>
      <c r="B977" s="42">
        <v>3640.60009765625</v>
      </c>
      <c r="C977" s="42">
        <v>22332.650390625</v>
      </c>
      <c r="D977" s="289">
        <f t="shared" si="30"/>
        <v>-7.1531788017711326E-3</v>
      </c>
      <c r="E977" s="289">
        <f t="shared" si="31"/>
        <v>-9.8858711699475119E-3</v>
      </c>
      <c r="F977" s="14"/>
      <c r="G977" s="14"/>
    </row>
    <row r="978" spans="1:7" ht="14.25" customHeight="1" x14ac:dyDescent="0.3">
      <c r="A978" s="41">
        <v>45363</v>
      </c>
      <c r="B978" s="42">
        <v>3621.64990234375</v>
      </c>
      <c r="C978" s="42">
        <v>22335.69921875</v>
      </c>
      <c r="D978" s="289">
        <f t="shared" si="30"/>
        <v>1.3651886684617893E-4</v>
      </c>
      <c r="E978" s="289">
        <f t="shared" si="31"/>
        <v>-5.2052394671691024E-3</v>
      </c>
      <c r="F978" s="14"/>
      <c r="G978" s="14"/>
    </row>
    <row r="979" spans="1:7" ht="14.25" customHeight="1" x14ac:dyDescent="0.3">
      <c r="A979" s="41">
        <v>45364</v>
      </c>
      <c r="B979" s="42">
        <v>3538.55004882813</v>
      </c>
      <c r="C979" s="42">
        <v>21997.69921875</v>
      </c>
      <c r="D979" s="289">
        <f t="shared" si="30"/>
        <v>-1.5132725270416491E-2</v>
      </c>
      <c r="E979" s="289">
        <f t="shared" si="31"/>
        <v>-2.2945302764312461E-2</v>
      </c>
      <c r="F979" s="14"/>
      <c r="G979" s="14"/>
    </row>
    <row r="980" spans="1:7" ht="14.25" customHeight="1" x14ac:dyDescent="0.3">
      <c r="A980" s="41">
        <v>45365</v>
      </c>
      <c r="B980" s="42">
        <v>3608.19995117188</v>
      </c>
      <c r="C980" s="42">
        <v>22146.650390625</v>
      </c>
      <c r="D980" s="289">
        <f t="shared" si="30"/>
        <v>6.7712159528047237E-3</v>
      </c>
      <c r="E980" s="289">
        <f t="shared" si="31"/>
        <v>1.9683175702662769E-2</v>
      </c>
      <c r="F980" s="14"/>
      <c r="G980" s="14"/>
    </row>
    <row r="981" spans="1:7" ht="14.25" customHeight="1" x14ac:dyDescent="0.3">
      <c r="A981" s="41">
        <v>45366</v>
      </c>
      <c r="B981" s="42">
        <v>3537.14990234375</v>
      </c>
      <c r="C981" s="42">
        <v>22023.349609375</v>
      </c>
      <c r="D981" s="289">
        <f t="shared" si="30"/>
        <v>-5.5674686273186943E-3</v>
      </c>
      <c r="E981" s="289">
        <f t="shared" si="31"/>
        <v>-1.969127259841966E-2</v>
      </c>
      <c r="F981" s="14"/>
      <c r="G981" s="14"/>
    </row>
    <row r="982" spans="1:7" ht="14.25" customHeight="1" x14ac:dyDescent="0.3">
      <c r="A982" s="41">
        <v>45369</v>
      </c>
      <c r="B982" s="42">
        <v>3561.19995117188</v>
      </c>
      <c r="C982" s="42">
        <v>22055.69921875</v>
      </c>
      <c r="D982" s="289">
        <f t="shared" si="30"/>
        <v>1.4688778023679591E-3</v>
      </c>
      <c r="E982" s="289">
        <f t="shared" si="31"/>
        <v>6.7992732827619785E-3</v>
      </c>
      <c r="F982" s="14"/>
      <c r="G982" s="14"/>
    </row>
    <row r="983" spans="1:7" ht="14.25" customHeight="1" x14ac:dyDescent="0.3">
      <c r="A983" s="41">
        <v>45370</v>
      </c>
      <c r="B983" s="42">
        <v>3501.69995117188</v>
      </c>
      <c r="C983" s="42">
        <v>21817.44921875</v>
      </c>
      <c r="D983" s="289">
        <f t="shared" si="30"/>
        <v>-1.080219664028873E-2</v>
      </c>
      <c r="E983" s="289">
        <f t="shared" si="31"/>
        <v>-1.6707851515167071E-2</v>
      </c>
      <c r="F983" s="14"/>
      <c r="G983" s="14"/>
    </row>
    <row r="984" spans="1:7" ht="14.25" customHeight="1" x14ac:dyDescent="0.3">
      <c r="A984" s="41">
        <v>45371</v>
      </c>
      <c r="B984" s="42">
        <v>3509.69995117188</v>
      </c>
      <c r="C984" s="42">
        <v>21839.099609375</v>
      </c>
      <c r="D984" s="289">
        <f t="shared" si="30"/>
        <v>9.9234289068006964E-4</v>
      </c>
      <c r="E984" s="289">
        <f t="shared" si="31"/>
        <v>2.2846046524696434E-3</v>
      </c>
      <c r="F984" s="14"/>
      <c r="G984" s="14"/>
    </row>
    <row r="985" spans="1:7" ht="14.25" customHeight="1" x14ac:dyDescent="0.3">
      <c r="A985" s="41">
        <v>45372</v>
      </c>
      <c r="B985" s="42">
        <v>3560</v>
      </c>
      <c r="C985" s="42">
        <v>22011.94921875</v>
      </c>
      <c r="D985" s="289">
        <f t="shared" si="30"/>
        <v>7.9146856998078725E-3</v>
      </c>
      <c r="E985" s="289">
        <f t="shared" si="31"/>
        <v>1.4331723374622077E-2</v>
      </c>
      <c r="F985" s="14"/>
      <c r="G985" s="14"/>
    </row>
    <row r="986" spans="1:7" ht="14.25" customHeight="1" x14ac:dyDescent="0.3">
      <c r="A986" s="41">
        <v>45373</v>
      </c>
      <c r="B986" s="42">
        <v>3617.80004882813</v>
      </c>
      <c r="C986" s="42">
        <v>22096.75</v>
      </c>
      <c r="D986" s="289">
        <f t="shared" si="30"/>
        <v>3.8524885010077091E-3</v>
      </c>
      <c r="E986" s="289">
        <f t="shared" si="31"/>
        <v>1.6235968771946632E-2</v>
      </c>
      <c r="F986" s="14"/>
      <c r="G986" s="14"/>
    </row>
    <row r="987" spans="1:7" ht="14.25" customHeight="1" x14ac:dyDescent="0.3">
      <c r="A987" s="41">
        <v>45377</v>
      </c>
      <c r="B987" s="42">
        <v>3670.10009765625</v>
      </c>
      <c r="C987" s="42">
        <v>22004.69921875</v>
      </c>
      <c r="D987" s="289">
        <f t="shared" si="30"/>
        <v>-4.1658063402989125E-3</v>
      </c>
      <c r="E987" s="289">
        <f t="shared" si="31"/>
        <v>1.4456312710002013E-2</v>
      </c>
      <c r="F987" s="14"/>
      <c r="G987" s="14"/>
    </row>
    <row r="988" spans="1:7" ht="14.25" customHeight="1" x14ac:dyDescent="0.3">
      <c r="A988" s="41">
        <v>45378</v>
      </c>
      <c r="B988" s="42">
        <v>3706.39990234375</v>
      </c>
      <c r="C988" s="42">
        <v>22123.650390625</v>
      </c>
      <c r="D988" s="289">
        <f t="shared" si="30"/>
        <v>5.40571678315161E-3</v>
      </c>
      <c r="E988" s="289">
        <f t="shared" si="31"/>
        <v>9.8906851915786416E-3</v>
      </c>
      <c r="F988" s="14"/>
      <c r="G988" s="14"/>
    </row>
    <row r="989" spans="1:7" ht="14.25" customHeight="1" x14ac:dyDescent="0.3">
      <c r="A989" s="41">
        <v>45379</v>
      </c>
      <c r="B989" s="42">
        <v>3763.89990234375</v>
      </c>
      <c r="C989" s="42">
        <v>22326.900390625</v>
      </c>
      <c r="D989" s="289">
        <f t="shared" si="30"/>
        <v>9.1870010785438973E-3</v>
      </c>
      <c r="E989" s="289">
        <f t="shared" si="31"/>
        <v>1.5513706430771206E-2</v>
      </c>
      <c r="F989" s="14"/>
      <c r="G989" s="14"/>
    </row>
    <row r="990" spans="1:7" ht="14.25" customHeight="1" x14ac:dyDescent="0.3">
      <c r="A990" s="41">
        <v>45383</v>
      </c>
      <c r="B990" s="42">
        <v>3838</v>
      </c>
      <c r="C990" s="42">
        <v>22462</v>
      </c>
      <c r="D990" s="289">
        <f t="shared" si="30"/>
        <v>6.0509791780917303E-3</v>
      </c>
      <c r="E990" s="289">
        <f t="shared" si="31"/>
        <v>1.9687053210450275E-2</v>
      </c>
      <c r="F990" s="14"/>
      <c r="G990" s="14"/>
    </row>
    <row r="991" spans="1:7" ht="14.25" customHeight="1" x14ac:dyDescent="0.3">
      <c r="A991" s="41">
        <v>45384</v>
      </c>
      <c r="B991" s="42">
        <v>3807.39990234375</v>
      </c>
      <c r="C991" s="42">
        <v>22453.30078125</v>
      </c>
      <c r="D991" s="289">
        <f t="shared" si="30"/>
        <v>-3.872860275131333E-4</v>
      </c>
      <c r="E991" s="289">
        <f t="shared" si="31"/>
        <v>-7.9729279979807183E-3</v>
      </c>
      <c r="F991" s="14"/>
      <c r="G991" s="14"/>
    </row>
    <row r="992" spans="1:7" ht="14.25" customHeight="1" x14ac:dyDescent="0.3">
      <c r="A992" s="41">
        <v>45385</v>
      </c>
      <c r="B992" s="42">
        <v>3782.44995117188</v>
      </c>
      <c r="C992" s="42">
        <v>22434.650390625</v>
      </c>
      <c r="D992" s="289">
        <f t="shared" si="30"/>
        <v>-8.3063024036868183E-4</v>
      </c>
      <c r="E992" s="289">
        <f t="shared" si="31"/>
        <v>-6.5530156568295774E-3</v>
      </c>
      <c r="F992" s="14"/>
      <c r="G992" s="14"/>
    </row>
    <row r="993" spans="1:7" ht="14.25" customHeight="1" x14ac:dyDescent="0.3">
      <c r="A993" s="41">
        <v>45386</v>
      </c>
      <c r="B993" s="42">
        <v>3797.85009765625</v>
      </c>
      <c r="C993" s="42">
        <v>22514.650390625</v>
      </c>
      <c r="D993" s="289">
        <f t="shared" si="30"/>
        <v>3.5659124883635554E-3</v>
      </c>
      <c r="E993" s="289">
        <f t="shared" si="31"/>
        <v>4.0714739608381911E-3</v>
      </c>
      <c r="F993" s="14"/>
      <c r="G993" s="14"/>
    </row>
    <row r="994" spans="1:7" ht="14.25" customHeight="1" x14ac:dyDescent="0.3">
      <c r="A994" s="41">
        <v>45387</v>
      </c>
      <c r="B994" s="42">
        <v>3743.10009765625</v>
      </c>
      <c r="C994" s="42">
        <v>22513.69921875</v>
      </c>
      <c r="D994" s="289">
        <f t="shared" si="30"/>
        <v>-4.2246797462867275E-5</v>
      </c>
      <c r="E994" s="289">
        <f t="shared" si="31"/>
        <v>-1.441605081616771E-2</v>
      </c>
      <c r="F994" s="14"/>
      <c r="G994" s="14"/>
    </row>
    <row r="995" spans="1:7" ht="14.25" customHeight="1" x14ac:dyDescent="0.3">
      <c r="A995" s="41">
        <v>45390</v>
      </c>
      <c r="B995" s="42">
        <v>3807.85009765625</v>
      </c>
      <c r="C995" s="42">
        <v>22666.30078125</v>
      </c>
      <c r="D995" s="289">
        <f t="shared" si="30"/>
        <v>6.7781647528145621E-3</v>
      </c>
      <c r="E995" s="289">
        <f t="shared" si="31"/>
        <v>1.7298495447808981E-2</v>
      </c>
      <c r="F995" s="14"/>
      <c r="G995" s="14"/>
    </row>
    <row r="996" spans="1:7" ht="14.25" customHeight="1" x14ac:dyDescent="0.3">
      <c r="A996" s="41">
        <v>45391</v>
      </c>
      <c r="B996" s="42">
        <v>3785.25</v>
      </c>
      <c r="C996" s="42">
        <v>22642.75</v>
      </c>
      <c r="D996" s="289">
        <f t="shared" si="30"/>
        <v>-1.0390218270412109E-3</v>
      </c>
      <c r="E996" s="289">
        <f t="shared" si="31"/>
        <v>-5.9351332317835901E-3</v>
      </c>
      <c r="F996" s="14"/>
      <c r="G996" s="14"/>
    </row>
    <row r="997" spans="1:7" ht="14.25" customHeight="1" x14ac:dyDescent="0.3">
      <c r="A997" s="41">
        <v>45392</v>
      </c>
      <c r="B997" s="42">
        <v>3753.19995117188</v>
      </c>
      <c r="C997" s="42">
        <v>22753.80078125</v>
      </c>
      <c r="D997" s="289">
        <f t="shared" si="30"/>
        <v>4.9044741142308243E-3</v>
      </c>
      <c r="E997" s="289">
        <f t="shared" si="31"/>
        <v>-8.4670890504246737E-3</v>
      </c>
      <c r="F997" s="14"/>
      <c r="G997" s="14"/>
    </row>
    <row r="998" spans="1:7" ht="14.25" customHeight="1" x14ac:dyDescent="0.3">
      <c r="A998" s="41">
        <v>45394</v>
      </c>
      <c r="B998" s="42">
        <v>3679.25</v>
      </c>
      <c r="C998" s="42">
        <v>22519.400390625</v>
      </c>
      <c r="D998" s="289">
        <f t="shared" si="30"/>
        <v>-1.0301592814249954E-2</v>
      </c>
      <c r="E998" s="289">
        <f t="shared" si="31"/>
        <v>-1.9703173860691928E-2</v>
      </c>
      <c r="F998" s="14"/>
      <c r="G998" s="14"/>
    </row>
    <row r="999" spans="1:7" ht="14.25" customHeight="1" x14ac:dyDescent="0.3">
      <c r="A999" s="41">
        <v>45397</v>
      </c>
      <c r="B999" s="42">
        <v>3600.80004882813</v>
      </c>
      <c r="C999" s="42">
        <v>22272.5</v>
      </c>
      <c r="D999" s="289">
        <f t="shared" si="30"/>
        <v>-1.0963897188301094E-2</v>
      </c>
      <c r="E999" s="289">
        <f t="shared" si="31"/>
        <v>-2.1322267084832505E-2</v>
      </c>
      <c r="F999" s="14"/>
      <c r="G999" s="14"/>
    </row>
    <row r="1000" spans="1:7" ht="14.25" customHeight="1" x14ac:dyDescent="0.3">
      <c r="A1000" s="41">
        <v>45398</v>
      </c>
      <c r="B1000" s="42">
        <v>3543.44995117188</v>
      </c>
      <c r="C1000" s="42">
        <v>22147.900390625</v>
      </c>
      <c r="D1000" s="289">
        <f t="shared" si="30"/>
        <v>-5.5943252609720511E-3</v>
      </c>
      <c r="E1000" s="289">
        <f t="shared" si="31"/>
        <v>-1.5927043123350998E-2</v>
      </c>
      <c r="F1000" s="14"/>
      <c r="G1000" s="14"/>
    </row>
    <row r="1001" spans="1:7" ht="14.25" customHeight="1" x14ac:dyDescent="0.3">
      <c r="A1001" s="41">
        <v>45400</v>
      </c>
      <c r="B1001" s="42">
        <v>3550.94995117188</v>
      </c>
      <c r="C1001" s="42">
        <v>21995.849609375</v>
      </c>
      <c r="D1001" s="289">
        <f t="shared" si="30"/>
        <v>-6.8652458503182393E-3</v>
      </c>
      <c r="E1001" s="289">
        <f t="shared" si="31"/>
        <v>2.1165813270537714E-3</v>
      </c>
      <c r="F1001" s="14"/>
      <c r="G1001" s="14"/>
    </row>
    <row r="1002" spans="1:7" ht="14.25" customHeight="1" x14ac:dyDescent="0.3">
      <c r="A1002" s="41">
        <v>45401</v>
      </c>
      <c r="B1002" s="42">
        <v>3518.35009765625</v>
      </c>
      <c r="C1002" s="42">
        <v>22147</v>
      </c>
      <c r="D1002" s="289">
        <f t="shared" si="30"/>
        <v>6.8717686886064708E-3</v>
      </c>
      <c r="E1002" s="289">
        <f t="shared" si="31"/>
        <v>-9.1806006741580355E-3</v>
      </c>
      <c r="F1002" s="14"/>
      <c r="G1002" s="14"/>
    </row>
    <row r="1003" spans="1:7" ht="14.25" customHeight="1" x14ac:dyDescent="0.3">
      <c r="A1003" s="41">
        <v>45404</v>
      </c>
      <c r="B1003" s="42">
        <v>3612.69995117188</v>
      </c>
      <c r="C1003" s="42">
        <v>22336.400390625</v>
      </c>
      <c r="D1003" s="289">
        <f t="shared" si="30"/>
        <v>8.5519659829773782E-3</v>
      </c>
      <c r="E1003" s="289">
        <f t="shared" si="31"/>
        <v>2.6816505150661724E-2</v>
      </c>
      <c r="F1003" s="14"/>
      <c r="G1003" s="14"/>
    </row>
    <row r="1004" spans="1:7" ht="14.25" customHeight="1" x14ac:dyDescent="0.3">
      <c r="A1004" s="41">
        <v>45405</v>
      </c>
      <c r="B1004" s="42">
        <v>3610.14990234375</v>
      </c>
      <c r="C1004" s="42">
        <v>22368</v>
      </c>
      <c r="D1004" s="289">
        <f t="shared" si="30"/>
        <v>1.4147135985377009E-3</v>
      </c>
      <c r="E1004" s="289">
        <f t="shared" si="31"/>
        <v>-7.0585680034203303E-4</v>
      </c>
      <c r="F1004" s="14"/>
      <c r="G1004" s="14"/>
    </row>
    <row r="1005" spans="1:7" ht="14.25" customHeight="1" x14ac:dyDescent="0.3">
      <c r="A1005" s="41">
        <v>45406</v>
      </c>
      <c r="B1005" s="42">
        <v>3634.85009765625</v>
      </c>
      <c r="C1005" s="42">
        <v>22402.400390625</v>
      </c>
      <c r="D1005" s="289">
        <f t="shared" si="30"/>
        <v>1.5379287654238199E-3</v>
      </c>
      <c r="E1005" s="289">
        <f t="shared" si="31"/>
        <v>6.8418752629812833E-3</v>
      </c>
      <c r="F1005" s="14"/>
      <c r="G1005" s="14"/>
    </row>
    <row r="1006" spans="1:7" ht="14.25" customHeight="1" x14ac:dyDescent="0.3">
      <c r="A1006" s="41">
        <v>45407</v>
      </c>
      <c r="B1006" s="42">
        <v>3652.30004882813</v>
      </c>
      <c r="C1006" s="42">
        <v>22570.349609375</v>
      </c>
      <c r="D1006" s="289">
        <f t="shared" si="30"/>
        <v>7.4969296067167743E-3</v>
      </c>
      <c r="E1006" s="289">
        <f t="shared" si="31"/>
        <v>4.8007347491803645E-3</v>
      </c>
      <c r="F1006" s="14"/>
      <c r="G1006" s="14"/>
    </row>
    <row r="1007" spans="1:7" ht="14.25" customHeight="1" x14ac:dyDescent="0.3">
      <c r="A1007" s="41">
        <v>45408</v>
      </c>
      <c r="B1007" s="42">
        <v>3605.19995117188</v>
      </c>
      <c r="C1007" s="42">
        <v>22419.94921875</v>
      </c>
      <c r="D1007" s="289">
        <f t="shared" si="30"/>
        <v>-6.6636269808832953E-3</v>
      </c>
      <c r="E1007" s="289">
        <f t="shared" si="31"/>
        <v>-1.289600991883524E-2</v>
      </c>
      <c r="F1007" s="14"/>
      <c r="G1007" s="14"/>
    </row>
    <row r="1008" spans="1:7" ht="14.25" customHeight="1" x14ac:dyDescent="0.3">
      <c r="A1008" s="41">
        <v>45411</v>
      </c>
      <c r="B1008" s="42">
        <v>3634.30004882813</v>
      </c>
      <c r="C1008" s="42">
        <v>22643.400390625</v>
      </c>
      <c r="D1008" s="289">
        <f t="shared" si="30"/>
        <v>9.9666225688025117E-3</v>
      </c>
      <c r="E1008" s="289">
        <f t="shared" si="31"/>
        <v>8.0717014452391014E-3</v>
      </c>
      <c r="F1008" s="14"/>
      <c r="G1008" s="14"/>
    </row>
    <row r="1009" spans="1:7" ht="14.25" customHeight="1" x14ac:dyDescent="0.3">
      <c r="A1009" s="41">
        <v>45412</v>
      </c>
      <c r="B1009" s="42">
        <v>3594.30004882813</v>
      </c>
      <c r="C1009" s="42">
        <v>22604.849609375</v>
      </c>
      <c r="D1009" s="289">
        <f t="shared" si="30"/>
        <v>-1.7025173156396201E-3</v>
      </c>
      <c r="E1009" s="289">
        <f t="shared" si="31"/>
        <v>-1.1006245896757449E-2</v>
      </c>
      <c r="F1009" s="14"/>
      <c r="G1009" s="14"/>
    </row>
    <row r="1010" spans="1:7" ht="14.25" customHeight="1" x14ac:dyDescent="0.3">
      <c r="A1010" s="41">
        <v>45414</v>
      </c>
      <c r="B1010" s="42">
        <v>3599.5</v>
      </c>
      <c r="C1010" s="42">
        <v>22648.19921875</v>
      </c>
      <c r="D1010" s="289">
        <f t="shared" si="30"/>
        <v>1.9177127972141625E-3</v>
      </c>
      <c r="E1010" s="289">
        <f t="shared" si="31"/>
        <v>1.446721503833651E-3</v>
      </c>
      <c r="F1010" s="14"/>
      <c r="G1010" s="14"/>
    </row>
    <row r="1011" spans="1:7" ht="14.25" customHeight="1" x14ac:dyDescent="0.3">
      <c r="A1011" s="41">
        <v>45415</v>
      </c>
      <c r="B1011" s="42">
        <v>3499.80004882813</v>
      </c>
      <c r="C1011" s="42">
        <v>22475.849609375</v>
      </c>
      <c r="D1011" s="289">
        <f t="shared" si="30"/>
        <v>-7.6098592965534824E-3</v>
      </c>
      <c r="E1011" s="289">
        <f t="shared" si="31"/>
        <v>-2.7698277864111682E-2</v>
      </c>
      <c r="F1011" s="14"/>
      <c r="G1011" s="14"/>
    </row>
    <row r="1012" spans="1:7" ht="14.25" customHeight="1" x14ac:dyDescent="0.3">
      <c r="A1012" s="41">
        <v>45418</v>
      </c>
      <c r="B1012" s="42">
        <v>3463.30004882813</v>
      </c>
      <c r="C1012" s="42">
        <v>22442.69921875</v>
      </c>
      <c r="D1012" s="289">
        <f t="shared" si="30"/>
        <v>-1.4749338156797639E-3</v>
      </c>
      <c r="E1012" s="289">
        <f t="shared" si="31"/>
        <v>-1.0429167235488675E-2</v>
      </c>
      <c r="F1012" s="14"/>
      <c r="G1012" s="14"/>
    </row>
    <row r="1013" spans="1:7" ht="14.25" customHeight="1" x14ac:dyDescent="0.3">
      <c r="A1013" s="41">
        <v>45419</v>
      </c>
      <c r="B1013" s="42">
        <v>3427.75</v>
      </c>
      <c r="C1013" s="42">
        <v>22302.5</v>
      </c>
      <c r="D1013" s="289">
        <f t="shared" si="30"/>
        <v>-6.2469855957820357E-3</v>
      </c>
      <c r="E1013" s="289">
        <f t="shared" si="31"/>
        <v>-1.0264790323367738E-2</v>
      </c>
      <c r="F1013" s="14"/>
      <c r="G1013" s="14"/>
    </row>
    <row r="1014" spans="1:7" ht="14.25" customHeight="1" x14ac:dyDescent="0.3">
      <c r="A1014" s="41">
        <v>45420</v>
      </c>
      <c r="B1014" s="42">
        <v>3486.85009765625</v>
      </c>
      <c r="C1014" s="42">
        <v>22302.5</v>
      </c>
      <c r="D1014" s="289">
        <f t="shared" si="30"/>
        <v>0</v>
      </c>
      <c r="E1014" s="289">
        <f t="shared" si="31"/>
        <v>1.7241659297279558E-2</v>
      </c>
      <c r="F1014" s="14"/>
      <c r="G1014" s="14"/>
    </row>
    <row r="1015" spans="1:7" ht="14.25" customHeight="1" x14ac:dyDescent="0.3">
      <c r="A1015" s="41">
        <v>45421</v>
      </c>
      <c r="B1015" s="42">
        <v>3275.44995117188</v>
      </c>
      <c r="C1015" s="42">
        <v>21957.5</v>
      </c>
      <c r="D1015" s="289">
        <f t="shared" si="30"/>
        <v>-1.5469117811904494E-2</v>
      </c>
      <c r="E1015" s="289">
        <f t="shared" si="31"/>
        <v>-6.0627827570352531E-2</v>
      </c>
      <c r="F1015" s="14"/>
      <c r="G1015" s="14"/>
    </row>
    <row r="1016" spans="1:7" ht="14.25" customHeight="1" x14ac:dyDescent="0.3">
      <c r="A1016" s="41">
        <v>45422</v>
      </c>
      <c r="B1016" s="42">
        <v>3271.44995117188</v>
      </c>
      <c r="C1016" s="42">
        <v>22055.19921875</v>
      </c>
      <c r="D1016" s="289">
        <f t="shared" si="30"/>
        <v>4.4494691449390869E-3</v>
      </c>
      <c r="E1016" s="289">
        <f t="shared" si="31"/>
        <v>-1.2212062646748405E-3</v>
      </c>
      <c r="F1016" s="14"/>
      <c r="G1016" s="14"/>
    </row>
    <row r="1017" spans="1:7" ht="14.25" customHeight="1" x14ac:dyDescent="0.3">
      <c r="A1017" s="41">
        <v>45425</v>
      </c>
      <c r="B1017" s="42">
        <v>3293.85009765625</v>
      </c>
      <c r="C1017" s="42">
        <v>22104.05078125</v>
      </c>
      <c r="D1017" s="289">
        <f t="shared" si="30"/>
        <v>2.214968090538459E-3</v>
      </c>
      <c r="E1017" s="289">
        <f t="shared" si="31"/>
        <v>6.8471616007287368E-3</v>
      </c>
      <c r="F1017" s="14"/>
      <c r="G1017" s="14"/>
    </row>
    <row r="1018" spans="1:7" ht="14.25" customHeight="1" x14ac:dyDescent="0.3">
      <c r="A1018" s="41">
        <v>45426</v>
      </c>
      <c r="B1018" s="42">
        <v>3379.44995117188</v>
      </c>
      <c r="C1018" s="42">
        <v>22217.849609375</v>
      </c>
      <c r="D1018" s="289">
        <f t="shared" si="30"/>
        <v>5.1483245877054842E-3</v>
      </c>
      <c r="E1018" s="289">
        <f t="shared" si="31"/>
        <v>2.5987780553990258E-2</v>
      </c>
      <c r="F1018" s="14"/>
      <c r="G1018" s="14"/>
    </row>
    <row r="1019" spans="1:7" ht="14.25" customHeight="1" x14ac:dyDescent="0.3">
      <c r="A1019" s="41">
        <v>45427</v>
      </c>
      <c r="B1019" s="42">
        <v>3411.30004882813</v>
      </c>
      <c r="C1019" s="42">
        <v>22200.55078125</v>
      </c>
      <c r="D1019" s="289">
        <f t="shared" si="30"/>
        <v>-7.7860046895360301E-4</v>
      </c>
      <c r="E1019" s="289">
        <f t="shared" si="31"/>
        <v>9.4246395468012348E-3</v>
      </c>
      <c r="F1019" s="14"/>
      <c r="G1019" s="14"/>
    </row>
    <row r="1020" spans="1:7" ht="14.25" customHeight="1" x14ac:dyDescent="0.3">
      <c r="A1020" s="41">
        <v>45428</v>
      </c>
      <c r="B1020" s="42">
        <v>3460.60009765625</v>
      </c>
      <c r="C1020" s="42">
        <v>22403.849609375</v>
      </c>
      <c r="D1020" s="289">
        <f t="shared" si="30"/>
        <v>9.1573776762647191E-3</v>
      </c>
      <c r="E1020" s="289">
        <f t="shared" si="31"/>
        <v>1.445198256455214E-2</v>
      </c>
      <c r="F1020" s="14"/>
      <c r="G1020" s="14"/>
    </row>
    <row r="1021" spans="1:7" ht="14.25" customHeight="1" x14ac:dyDescent="0.3">
      <c r="A1021" s="41">
        <v>45429</v>
      </c>
      <c r="B1021" s="42">
        <v>3450.75</v>
      </c>
      <c r="C1021" s="42">
        <v>22466.099609375</v>
      </c>
      <c r="D1021" s="289">
        <f t="shared" si="30"/>
        <v>2.7785403439751347E-3</v>
      </c>
      <c r="E1021" s="289">
        <f t="shared" si="31"/>
        <v>-2.846355365626079E-3</v>
      </c>
      <c r="F1021" s="14"/>
      <c r="G1021" s="14"/>
    </row>
    <row r="1022" spans="1:7" ht="14.25" customHeight="1" x14ac:dyDescent="0.3">
      <c r="A1022" s="41">
        <v>45433</v>
      </c>
      <c r="B1022" s="42">
        <v>3440.94995117188</v>
      </c>
      <c r="C1022" s="42">
        <v>22529.05078125</v>
      </c>
      <c r="D1022" s="289">
        <f t="shared" si="30"/>
        <v>2.8020516676036979E-3</v>
      </c>
      <c r="E1022" s="289">
        <f t="shared" si="31"/>
        <v>-2.8399764770325286E-3</v>
      </c>
      <c r="F1022" s="14"/>
      <c r="G1022" s="14"/>
    </row>
    <row r="1023" spans="1:7" ht="14.25" customHeight="1" x14ac:dyDescent="0.3">
      <c r="A1023" s="41">
        <v>45434</v>
      </c>
      <c r="B1023" s="42">
        <v>3460.85009765625</v>
      </c>
      <c r="C1023" s="42">
        <v>22597.80078125</v>
      </c>
      <c r="D1023" s="289">
        <f t="shared" si="30"/>
        <v>3.051615474950138E-3</v>
      </c>
      <c r="E1023" s="289">
        <f t="shared" si="31"/>
        <v>5.7833292453418651E-3</v>
      </c>
      <c r="F1023" s="14"/>
      <c r="G1023" s="14"/>
    </row>
    <row r="1024" spans="1:7" ht="14.25" customHeight="1" x14ac:dyDescent="0.3">
      <c r="A1024" s="41">
        <v>45435</v>
      </c>
      <c r="B1024" s="42">
        <v>3585.39990234375</v>
      </c>
      <c r="C1024" s="42">
        <v>22967.650390625</v>
      </c>
      <c r="D1024" s="289">
        <f t="shared" si="30"/>
        <v>1.6366619608483058E-2</v>
      </c>
      <c r="E1024" s="289">
        <f t="shared" si="31"/>
        <v>3.5988211327571622E-2</v>
      </c>
      <c r="F1024" s="14"/>
      <c r="G1024" s="14"/>
    </row>
    <row r="1025" spans="1:7" ht="14.25" customHeight="1" x14ac:dyDescent="0.3">
      <c r="A1025" s="41">
        <v>45436</v>
      </c>
      <c r="B1025" s="42">
        <v>3625.89990234375</v>
      </c>
      <c r="C1025" s="42">
        <v>22957.099609375</v>
      </c>
      <c r="D1025" s="289">
        <f t="shared" si="30"/>
        <v>-4.5937573371922485E-4</v>
      </c>
      <c r="E1025" s="289">
        <f t="shared" si="31"/>
        <v>1.1295811095862819E-2</v>
      </c>
      <c r="F1025" s="14"/>
      <c r="G1025" s="14"/>
    </row>
    <row r="1026" spans="1:7" ht="14.25" customHeight="1" x14ac:dyDescent="0.3">
      <c r="A1026" s="41">
        <v>45439</v>
      </c>
      <c r="B1026" s="42">
        <v>3652</v>
      </c>
      <c r="C1026" s="42">
        <v>22932.44921875</v>
      </c>
      <c r="D1026" s="289">
        <f t="shared" si="30"/>
        <v>-1.0737589261900274E-3</v>
      </c>
      <c r="E1026" s="289">
        <f t="shared" si="31"/>
        <v>7.1982399843357851E-3</v>
      </c>
      <c r="F1026" s="14"/>
      <c r="G1026" s="14"/>
    </row>
    <row r="1027" spans="1:7" ht="14.25" customHeight="1" x14ac:dyDescent="0.3">
      <c r="A1027" s="41">
        <v>45440</v>
      </c>
      <c r="B1027" s="42">
        <v>3658.19995117188</v>
      </c>
      <c r="C1027" s="42">
        <v>22888.150390625</v>
      </c>
      <c r="D1027" s="289">
        <f t="shared" ref="D1027:D1090" si="32">(C1027-C1026)/C1026</f>
        <v>-1.9317094176221025E-3</v>
      </c>
      <c r="E1027" s="289">
        <f t="shared" ref="E1027:E1090" si="33">(B1027-B1026)/B1026</f>
        <v>1.6976865202300115E-3</v>
      </c>
      <c r="F1027" s="14"/>
      <c r="G1027" s="14"/>
    </row>
    <row r="1028" spans="1:7" ht="14.25" customHeight="1" x14ac:dyDescent="0.3">
      <c r="A1028" s="41">
        <v>45441</v>
      </c>
      <c r="B1028" s="42">
        <v>3634.80004882813</v>
      </c>
      <c r="C1028" s="42">
        <v>22704.69921875</v>
      </c>
      <c r="D1028" s="289">
        <f t="shared" si="32"/>
        <v>-8.0151156272610692E-3</v>
      </c>
      <c r="E1028" s="289">
        <f t="shared" si="33"/>
        <v>-6.3965618763550626E-3</v>
      </c>
      <c r="F1028" s="14"/>
      <c r="G1028" s="14"/>
    </row>
    <row r="1029" spans="1:7" ht="14.25" customHeight="1" x14ac:dyDescent="0.3">
      <c r="A1029" s="41">
        <v>45442</v>
      </c>
      <c r="B1029" s="42">
        <v>3634.69995117188</v>
      </c>
      <c r="C1029" s="42">
        <v>22488.650390625</v>
      </c>
      <c r="D1029" s="289">
        <f t="shared" si="32"/>
        <v>-9.5155996581792416E-3</v>
      </c>
      <c r="E1029" s="289">
        <f t="shared" si="33"/>
        <v>-2.7538696738565239E-5</v>
      </c>
      <c r="F1029" s="14"/>
      <c r="G1029" s="14"/>
    </row>
    <row r="1030" spans="1:7" ht="14.25" customHeight="1" x14ac:dyDescent="0.3">
      <c r="A1030" s="41">
        <v>45443</v>
      </c>
      <c r="B1030" s="42">
        <v>3669.30004882813</v>
      </c>
      <c r="C1030" s="42">
        <v>22530.69921875</v>
      </c>
      <c r="D1030" s="289">
        <f t="shared" si="32"/>
        <v>1.869779973213919E-3</v>
      </c>
      <c r="E1030" s="289">
        <f t="shared" si="33"/>
        <v>9.5193821006034976E-3</v>
      </c>
      <c r="F1030" s="14"/>
      <c r="G1030" s="14"/>
    </row>
    <row r="1031" spans="1:7" ht="14.25" customHeight="1" x14ac:dyDescent="0.3">
      <c r="A1031" s="41">
        <v>45446</v>
      </c>
      <c r="B1031" s="42">
        <v>3897.14990234375</v>
      </c>
      <c r="C1031" s="42">
        <v>23263.900390625</v>
      </c>
      <c r="D1031" s="289">
        <f t="shared" si="32"/>
        <v>3.2542317695352818E-2</v>
      </c>
      <c r="E1031" s="289">
        <f t="shared" si="33"/>
        <v>6.2096271900246684E-2</v>
      </c>
      <c r="F1031" s="14"/>
      <c r="G1031" s="14"/>
    </row>
    <row r="1032" spans="1:7" ht="14.25" customHeight="1" x14ac:dyDescent="0.3">
      <c r="A1032" s="41">
        <v>45447</v>
      </c>
      <c r="B1032" s="42">
        <v>3403.19995117188</v>
      </c>
      <c r="C1032" s="42">
        <v>21884.5</v>
      </c>
      <c r="D1032" s="289">
        <f t="shared" si="32"/>
        <v>-5.9293599416410735E-2</v>
      </c>
      <c r="E1032" s="289">
        <f t="shared" si="33"/>
        <v>-0.12674645922005925</v>
      </c>
      <c r="F1032" s="14"/>
      <c r="G1032" s="14"/>
    </row>
    <row r="1033" spans="1:7" ht="14.25" customHeight="1" x14ac:dyDescent="0.3">
      <c r="A1033" s="41">
        <v>45448</v>
      </c>
      <c r="B1033" s="42">
        <v>3409</v>
      </c>
      <c r="C1033" s="42">
        <v>22620.349609375</v>
      </c>
      <c r="D1033" s="289">
        <f t="shared" si="32"/>
        <v>3.362423676003564E-2</v>
      </c>
      <c r="E1033" s="289">
        <f t="shared" si="33"/>
        <v>1.7042926984418801E-3</v>
      </c>
      <c r="F1033" s="14"/>
      <c r="G1033" s="14"/>
    </row>
    <row r="1034" spans="1:7" ht="14.25" customHeight="1" x14ac:dyDescent="0.3">
      <c r="A1034" s="41">
        <v>45449</v>
      </c>
      <c r="B1034" s="42">
        <v>3482.55004882813</v>
      </c>
      <c r="C1034" s="42">
        <v>22821.400390625</v>
      </c>
      <c r="D1034" s="289">
        <f t="shared" si="32"/>
        <v>8.8880492442377883E-3</v>
      </c>
      <c r="E1034" s="289">
        <f t="shared" si="33"/>
        <v>2.1575256329753593E-2</v>
      </c>
      <c r="F1034" s="14"/>
      <c r="G1034" s="14"/>
    </row>
    <row r="1035" spans="1:7" ht="14.25" customHeight="1" x14ac:dyDescent="0.3">
      <c r="A1035" s="41">
        <v>45450</v>
      </c>
      <c r="B1035" s="42">
        <v>3532.5</v>
      </c>
      <c r="C1035" s="42">
        <v>23290.150390625</v>
      </c>
      <c r="D1035" s="289">
        <f t="shared" si="32"/>
        <v>2.0539931466807E-2</v>
      </c>
      <c r="E1035" s="289">
        <f t="shared" si="33"/>
        <v>1.4342924142232512E-2</v>
      </c>
      <c r="F1035" s="14"/>
      <c r="G1035" s="14"/>
    </row>
    <row r="1036" spans="1:7" ht="14.25" customHeight="1" x14ac:dyDescent="0.3">
      <c r="A1036" s="41">
        <v>45453</v>
      </c>
      <c r="B1036" s="42">
        <v>3543.75</v>
      </c>
      <c r="C1036" s="42">
        <v>23259.19921875</v>
      </c>
      <c r="D1036" s="289">
        <f t="shared" si="32"/>
        <v>-1.328938257412833E-3</v>
      </c>
      <c r="E1036" s="289">
        <f t="shared" si="33"/>
        <v>3.1847133757961785E-3</v>
      </c>
      <c r="F1036" s="14"/>
      <c r="G1036" s="14"/>
    </row>
    <row r="1037" spans="1:7" ht="14.25" customHeight="1" x14ac:dyDescent="0.3">
      <c r="A1037" s="41">
        <v>45454</v>
      </c>
      <c r="B1037" s="42">
        <v>3598.69995117188</v>
      </c>
      <c r="C1037" s="42">
        <v>23264.849609375</v>
      </c>
      <c r="D1037" s="289">
        <f t="shared" si="32"/>
        <v>2.4293143421915555E-4</v>
      </c>
      <c r="E1037" s="289">
        <f t="shared" si="33"/>
        <v>1.5506159060847973E-2</v>
      </c>
      <c r="F1037" s="14"/>
      <c r="G1037" s="14"/>
    </row>
    <row r="1038" spans="1:7" ht="14.25" customHeight="1" x14ac:dyDescent="0.3">
      <c r="A1038" s="41">
        <v>45455</v>
      </c>
      <c r="B1038" s="42">
        <v>3630.30004882813</v>
      </c>
      <c r="C1038" s="42">
        <v>23322.94921875</v>
      </c>
      <c r="D1038" s="289">
        <f t="shared" si="32"/>
        <v>2.4973129141392641E-3</v>
      </c>
      <c r="E1038" s="289">
        <f t="shared" si="33"/>
        <v>8.7809759315887817E-3</v>
      </c>
      <c r="F1038" s="14"/>
      <c r="G1038" s="14"/>
    </row>
    <row r="1039" spans="1:7" ht="14.25" customHeight="1" x14ac:dyDescent="0.3">
      <c r="A1039" s="41">
        <v>45456</v>
      </c>
      <c r="B1039" s="42">
        <v>3703.64990234375</v>
      </c>
      <c r="C1039" s="42">
        <v>23398.900390625</v>
      </c>
      <c r="D1039" s="289">
        <f t="shared" si="32"/>
        <v>3.2564994745150257E-3</v>
      </c>
      <c r="E1039" s="289">
        <f t="shared" si="33"/>
        <v>2.0204901118103864E-2</v>
      </c>
      <c r="F1039" s="14"/>
      <c r="G1039" s="14"/>
    </row>
    <row r="1040" spans="1:7" ht="14.25" customHeight="1" x14ac:dyDescent="0.3">
      <c r="A1040" s="41">
        <v>45457</v>
      </c>
      <c r="B1040" s="42">
        <v>3687.80004882813</v>
      </c>
      <c r="C1040" s="42">
        <v>23465.599609375</v>
      </c>
      <c r="D1040" s="289">
        <f t="shared" si="32"/>
        <v>2.8505279152657831E-3</v>
      </c>
      <c r="E1040" s="289">
        <f t="shared" si="33"/>
        <v>-4.2795226151342942E-3</v>
      </c>
      <c r="F1040" s="14"/>
      <c r="G1040" s="14"/>
    </row>
    <row r="1041" spans="1:7" ht="14.25" customHeight="1" x14ac:dyDescent="0.3">
      <c r="A1041" s="41">
        <v>45461</v>
      </c>
      <c r="B1041" s="42">
        <v>3689.19995117188</v>
      </c>
      <c r="C1041" s="42">
        <v>23557.900390625</v>
      </c>
      <c r="D1041" s="289">
        <f t="shared" si="32"/>
        <v>3.9334507869606666E-3</v>
      </c>
      <c r="E1041" s="289">
        <f t="shared" si="33"/>
        <v>3.7960364586329623E-4</v>
      </c>
      <c r="F1041" s="14"/>
      <c r="G1041" s="14"/>
    </row>
    <row r="1042" spans="1:7" ht="14.25" customHeight="1" x14ac:dyDescent="0.3">
      <c r="A1042" s="41">
        <v>45462</v>
      </c>
      <c r="B1042" s="42">
        <v>3589.94995117188</v>
      </c>
      <c r="C1042" s="42">
        <v>23516</v>
      </c>
      <c r="D1042" s="289">
        <f t="shared" si="32"/>
        <v>-1.7786131162042989E-3</v>
      </c>
      <c r="E1042" s="289">
        <f t="shared" si="33"/>
        <v>-2.6902851922805941E-2</v>
      </c>
      <c r="F1042" s="14"/>
      <c r="G1042" s="14"/>
    </row>
    <row r="1043" spans="1:7" ht="14.25" customHeight="1" x14ac:dyDescent="0.3">
      <c r="A1043" s="41">
        <v>45463</v>
      </c>
      <c r="B1043" s="42">
        <v>3594.44995117188</v>
      </c>
      <c r="C1043" s="42">
        <v>23567</v>
      </c>
      <c r="D1043" s="289">
        <f t="shared" si="32"/>
        <v>2.1687361796223848E-3</v>
      </c>
      <c r="E1043" s="289">
        <f t="shared" si="33"/>
        <v>1.2534993694079354E-3</v>
      </c>
      <c r="F1043" s="14"/>
      <c r="G1043" s="14"/>
    </row>
    <row r="1044" spans="1:7" ht="14.25" customHeight="1" x14ac:dyDescent="0.3">
      <c r="A1044" s="41">
        <v>45464</v>
      </c>
      <c r="B1044" s="42">
        <v>3535</v>
      </c>
      <c r="C1044" s="42">
        <v>23501.099609375</v>
      </c>
      <c r="D1044" s="289">
        <f t="shared" si="32"/>
        <v>-2.7962995130903384E-3</v>
      </c>
      <c r="E1044" s="289">
        <f t="shared" si="33"/>
        <v>-1.6539373751051353E-2</v>
      </c>
      <c r="F1044" s="14"/>
      <c r="G1044" s="14"/>
    </row>
    <row r="1045" spans="1:7" ht="14.25" customHeight="1" x14ac:dyDescent="0.3">
      <c r="A1045" s="41">
        <v>45467</v>
      </c>
      <c r="B1045" s="42">
        <v>3531.60009765625</v>
      </c>
      <c r="C1045" s="42">
        <v>23537.849609375</v>
      </c>
      <c r="D1045" s="289">
        <f t="shared" si="32"/>
        <v>1.5637566161091365E-3</v>
      </c>
      <c r="E1045" s="289">
        <f t="shared" si="33"/>
        <v>-9.6178284123055158E-4</v>
      </c>
      <c r="F1045" s="14"/>
      <c r="G1045" s="14"/>
    </row>
    <row r="1046" spans="1:7" ht="14.25" customHeight="1" x14ac:dyDescent="0.3">
      <c r="A1046" s="41">
        <v>45468</v>
      </c>
      <c r="B1046" s="42">
        <v>3587.80004882813</v>
      </c>
      <c r="C1046" s="42">
        <v>23721.30078125</v>
      </c>
      <c r="D1046" s="289">
        <f t="shared" si="32"/>
        <v>7.7938798539154731E-3</v>
      </c>
      <c r="E1046" s="289">
        <f t="shared" si="33"/>
        <v>1.5913452717700727E-2</v>
      </c>
      <c r="F1046" s="14"/>
      <c r="G1046" s="14"/>
    </row>
    <row r="1047" spans="1:7" ht="14.25" customHeight="1" x14ac:dyDescent="0.3">
      <c r="A1047" s="41">
        <v>45469</v>
      </c>
      <c r="B1047" s="42">
        <v>3602.94995117188</v>
      </c>
      <c r="C1047" s="42">
        <v>23868.80078125</v>
      </c>
      <c r="D1047" s="289">
        <f t="shared" si="32"/>
        <v>6.2180401218380173E-3</v>
      </c>
      <c r="E1047" s="289">
        <f t="shared" si="33"/>
        <v>4.2226161261964294E-3</v>
      </c>
      <c r="F1047" s="14"/>
      <c r="G1047" s="14"/>
    </row>
    <row r="1048" spans="1:7" ht="14.25" customHeight="1" x14ac:dyDescent="0.3">
      <c r="A1048" s="41">
        <v>45470</v>
      </c>
      <c r="B1048" s="42">
        <v>3564.39990234375</v>
      </c>
      <c r="C1048" s="42">
        <v>24044.5</v>
      </c>
      <c r="D1048" s="289">
        <f t="shared" si="32"/>
        <v>7.3610408985448281E-3</v>
      </c>
      <c r="E1048" s="289">
        <f t="shared" si="33"/>
        <v>-1.0699579330984428E-2</v>
      </c>
      <c r="F1048" s="14"/>
      <c r="G1048" s="14"/>
    </row>
    <row r="1049" spans="1:7" ht="14.25" customHeight="1" x14ac:dyDescent="0.3">
      <c r="A1049" s="41">
        <v>45471</v>
      </c>
      <c r="B1049" s="42">
        <v>3548.44995117188</v>
      </c>
      <c r="C1049" s="42">
        <v>24010.599609375</v>
      </c>
      <c r="D1049" s="289">
        <f t="shared" si="32"/>
        <v>-1.4099020825968517E-3</v>
      </c>
      <c r="E1049" s="289">
        <f t="shared" si="33"/>
        <v>-4.4747928427958383E-3</v>
      </c>
      <c r="F1049" s="14"/>
      <c r="G1049" s="14"/>
    </row>
    <row r="1050" spans="1:7" ht="14.25" customHeight="1" x14ac:dyDescent="0.3">
      <c r="A1050" s="41">
        <v>45474</v>
      </c>
      <c r="B1050" s="42">
        <v>3526.55004882813</v>
      </c>
      <c r="C1050" s="42">
        <v>24141.94921875</v>
      </c>
      <c r="D1050" s="289">
        <f t="shared" si="32"/>
        <v>5.4704843490753228E-3</v>
      </c>
      <c r="E1050" s="289">
        <f t="shared" si="33"/>
        <v>-6.1716813383594516E-3</v>
      </c>
      <c r="F1050" s="14"/>
      <c r="G1050" s="14"/>
    </row>
    <row r="1051" spans="1:7" ht="14.25" customHeight="1" x14ac:dyDescent="0.3">
      <c r="A1051" s="41">
        <v>45475</v>
      </c>
      <c r="B1051" s="42">
        <v>3626.5</v>
      </c>
      <c r="C1051" s="42">
        <v>24123.849609375</v>
      </c>
      <c r="D1051" s="289">
        <f t="shared" si="32"/>
        <v>-7.4971615634676354E-4</v>
      </c>
      <c r="E1051" s="289">
        <f t="shared" si="33"/>
        <v>2.8342133186251898E-2</v>
      </c>
      <c r="F1051" s="14"/>
      <c r="G1051" s="14"/>
    </row>
    <row r="1052" spans="1:7" ht="14.25" customHeight="1" x14ac:dyDescent="0.3">
      <c r="A1052" s="41">
        <v>45476</v>
      </c>
      <c r="B1052" s="42">
        <v>3614.35009765625</v>
      </c>
      <c r="C1052" s="42">
        <v>24286.5</v>
      </c>
      <c r="D1052" s="289">
        <f t="shared" si="32"/>
        <v>6.742306607722794E-3</v>
      </c>
      <c r="E1052" s="289">
        <f t="shared" si="33"/>
        <v>-3.3503108627464498E-3</v>
      </c>
      <c r="F1052" s="14"/>
      <c r="G1052" s="14"/>
    </row>
    <row r="1053" spans="1:7" ht="14.25" customHeight="1" x14ac:dyDescent="0.3">
      <c r="A1053" s="41">
        <v>45477</v>
      </c>
      <c r="B1053" s="42">
        <v>3573.30004882813</v>
      </c>
      <c r="C1053" s="42">
        <v>24302.150390625</v>
      </c>
      <c r="D1053" s="289">
        <f t="shared" si="32"/>
        <v>6.4440700080291519E-4</v>
      </c>
      <c r="E1053" s="289">
        <f t="shared" si="33"/>
        <v>-1.1357518701561086E-2</v>
      </c>
      <c r="F1053" s="14"/>
      <c r="G1053" s="14"/>
    </row>
    <row r="1054" spans="1:7" ht="14.25" customHeight="1" x14ac:dyDescent="0.3">
      <c r="A1054" s="41">
        <v>45478</v>
      </c>
      <c r="B1054" s="42">
        <v>3627.14990234375</v>
      </c>
      <c r="C1054" s="42">
        <v>24323.849609375</v>
      </c>
      <c r="D1054" s="289">
        <f t="shared" si="32"/>
        <v>8.928929498506795E-4</v>
      </c>
      <c r="E1054" s="289">
        <f t="shared" si="33"/>
        <v>1.5070062065815086E-2</v>
      </c>
      <c r="F1054" s="14"/>
      <c r="G1054" s="14"/>
    </row>
    <row r="1055" spans="1:7" ht="14.25" customHeight="1" x14ac:dyDescent="0.3">
      <c r="A1055" s="41">
        <v>45481</v>
      </c>
      <c r="B1055" s="42">
        <v>3632</v>
      </c>
      <c r="C1055" s="42">
        <v>24320.55078125</v>
      </c>
      <c r="D1055" s="289">
        <f t="shared" si="32"/>
        <v>-1.3562113637343622E-4</v>
      </c>
      <c r="E1055" s="289">
        <f t="shared" si="33"/>
        <v>1.3371649330280008E-3</v>
      </c>
      <c r="F1055" s="14"/>
      <c r="G1055" s="14"/>
    </row>
    <row r="1056" spans="1:7" ht="14.25" customHeight="1" x14ac:dyDescent="0.3">
      <c r="A1056" s="41">
        <v>45482</v>
      </c>
      <c r="B1056" s="42">
        <v>3666.10009765625</v>
      </c>
      <c r="C1056" s="42">
        <v>24433.19921875</v>
      </c>
      <c r="D1056" s="289">
        <f t="shared" si="32"/>
        <v>4.631820986013468E-3</v>
      </c>
      <c r="E1056" s="289">
        <f t="shared" si="33"/>
        <v>9.3887934075578185E-3</v>
      </c>
      <c r="F1056" s="14"/>
      <c r="G1056" s="14"/>
    </row>
    <row r="1057" spans="1:7" ht="14.25" customHeight="1" x14ac:dyDescent="0.3">
      <c r="A1057" s="41">
        <v>45483</v>
      </c>
      <c r="B1057" s="42">
        <v>3650.05004882813</v>
      </c>
      <c r="C1057" s="42">
        <v>24324.44921875</v>
      </c>
      <c r="D1057" s="289">
        <f t="shared" si="32"/>
        <v>-4.4509111977667423E-3</v>
      </c>
      <c r="E1057" s="289">
        <f t="shared" si="33"/>
        <v>-4.3779625216400523E-3</v>
      </c>
      <c r="F1057" s="14"/>
      <c r="G1057" s="14"/>
    </row>
    <row r="1058" spans="1:7" ht="14.25" customHeight="1" x14ac:dyDescent="0.3">
      <c r="A1058" s="41">
        <v>45484</v>
      </c>
      <c r="B1058" s="42">
        <v>3621.10009765625</v>
      </c>
      <c r="C1058" s="42">
        <v>24315.94921875</v>
      </c>
      <c r="D1058" s="289">
        <f t="shared" si="32"/>
        <v>-3.4944265021417015E-4</v>
      </c>
      <c r="E1058" s="289">
        <f t="shared" si="33"/>
        <v>-7.931384716539586E-3</v>
      </c>
      <c r="F1058" s="14"/>
      <c r="G1058" s="14"/>
    </row>
    <row r="1059" spans="1:7" ht="14.25" customHeight="1" x14ac:dyDescent="0.3">
      <c r="A1059" s="41">
        <v>45485</v>
      </c>
      <c r="B1059" s="42">
        <v>3649.35009765625</v>
      </c>
      <c r="C1059" s="42">
        <v>24502.150390625</v>
      </c>
      <c r="D1059" s="289">
        <f t="shared" si="32"/>
        <v>7.6575736443560468E-3</v>
      </c>
      <c r="E1059" s="289">
        <f t="shared" si="33"/>
        <v>7.8014965723495902E-3</v>
      </c>
      <c r="F1059" s="14"/>
      <c r="G1059" s="14"/>
    </row>
    <row r="1060" spans="1:7" ht="14.25" customHeight="1" x14ac:dyDescent="0.3">
      <c r="A1060" s="41">
        <v>45488</v>
      </c>
      <c r="B1060" s="42">
        <v>3651.60009765625</v>
      </c>
      <c r="C1060" s="42">
        <v>24586.69921875</v>
      </c>
      <c r="D1060" s="289">
        <f t="shared" si="32"/>
        <v>3.4506697076412537E-3</v>
      </c>
      <c r="E1060" s="289">
        <f t="shared" si="33"/>
        <v>6.1654813591193532E-4</v>
      </c>
      <c r="F1060" s="14"/>
      <c r="G1060" s="14"/>
    </row>
    <row r="1061" spans="1:7" ht="14.25" customHeight="1" x14ac:dyDescent="0.3">
      <c r="A1061" s="41">
        <v>45489</v>
      </c>
      <c r="B1061" s="42">
        <v>3636.55004882813</v>
      </c>
      <c r="C1061" s="42">
        <v>24613</v>
      </c>
      <c r="D1061" s="289">
        <f t="shared" si="32"/>
        <v>1.0697158254550424E-3</v>
      </c>
      <c r="E1061" s="289">
        <f t="shared" si="33"/>
        <v>-4.1214942561152166E-3</v>
      </c>
      <c r="F1061" s="14"/>
      <c r="G1061" s="14"/>
    </row>
    <row r="1062" spans="1:7" ht="14.25" customHeight="1" x14ac:dyDescent="0.3">
      <c r="A1062" s="41">
        <v>45491</v>
      </c>
      <c r="B1062" s="42">
        <v>3656.19995117188</v>
      </c>
      <c r="C1062" s="42">
        <v>24800.849609375</v>
      </c>
      <c r="D1062" s="289">
        <f t="shared" si="32"/>
        <v>7.63212974342827E-3</v>
      </c>
      <c r="E1062" s="289">
        <f t="shared" si="33"/>
        <v>5.4034461453602535E-3</v>
      </c>
      <c r="F1062" s="14"/>
      <c r="G1062" s="14"/>
    </row>
    <row r="1063" spans="1:7" ht="14.25" customHeight="1" x14ac:dyDescent="0.3">
      <c r="A1063" s="41">
        <v>45492</v>
      </c>
      <c r="B1063" s="42">
        <v>3618.5</v>
      </c>
      <c r="C1063" s="42">
        <v>24530.900390625</v>
      </c>
      <c r="D1063" s="289">
        <f t="shared" si="32"/>
        <v>-1.0884676251089243E-2</v>
      </c>
      <c r="E1063" s="289">
        <f t="shared" si="33"/>
        <v>-1.0311238902510369E-2</v>
      </c>
      <c r="F1063" s="14"/>
      <c r="G1063" s="14"/>
    </row>
    <row r="1064" spans="1:7" ht="14.25" customHeight="1" x14ac:dyDescent="0.3">
      <c r="A1064" s="41">
        <v>45495</v>
      </c>
      <c r="B1064" s="42">
        <v>3651.44995117188</v>
      </c>
      <c r="C1064" s="42">
        <v>24509.25</v>
      </c>
      <c r="D1064" s="289">
        <f t="shared" si="32"/>
        <v>-8.8257627238477363E-4</v>
      </c>
      <c r="E1064" s="289">
        <f t="shared" si="33"/>
        <v>9.1059696481636046E-3</v>
      </c>
      <c r="F1064" s="14"/>
      <c r="G1064" s="14"/>
    </row>
    <row r="1065" spans="1:7" ht="14.25" customHeight="1" x14ac:dyDescent="0.3">
      <c r="A1065" s="41">
        <v>45496</v>
      </c>
      <c r="B1065" s="42">
        <v>3538.05004882813</v>
      </c>
      <c r="C1065" s="42">
        <v>24479.05078125</v>
      </c>
      <c r="D1065" s="289">
        <f t="shared" si="32"/>
        <v>-1.2321559717249609E-3</v>
      </c>
      <c r="E1065" s="289">
        <f t="shared" si="33"/>
        <v>-3.1056129444511745E-2</v>
      </c>
      <c r="F1065" s="14"/>
      <c r="G1065" s="14"/>
    </row>
    <row r="1066" spans="1:7" ht="14.25" customHeight="1" x14ac:dyDescent="0.3">
      <c r="A1066" s="41">
        <v>45497</v>
      </c>
      <c r="B1066" s="42">
        <v>3519.44995117188</v>
      </c>
      <c r="C1066" s="42">
        <v>24413.5</v>
      </c>
      <c r="D1066" s="289">
        <f t="shared" si="32"/>
        <v>-2.6778318259059845E-3</v>
      </c>
      <c r="E1066" s="289">
        <f t="shared" si="33"/>
        <v>-5.257160695737108E-3</v>
      </c>
      <c r="F1066" s="14"/>
      <c r="G1066" s="14"/>
    </row>
    <row r="1067" spans="1:7" ht="14.25" customHeight="1" x14ac:dyDescent="0.3">
      <c r="A1067" s="41">
        <v>45498</v>
      </c>
      <c r="B1067" s="42">
        <v>3619.14990234375</v>
      </c>
      <c r="C1067" s="42">
        <v>24406.099609375</v>
      </c>
      <c r="D1067" s="289">
        <f t="shared" si="32"/>
        <v>-3.031269840457124E-4</v>
      </c>
      <c r="E1067" s="289">
        <f t="shared" si="33"/>
        <v>2.8328276450890474E-2</v>
      </c>
      <c r="F1067" s="14"/>
      <c r="G1067" s="14"/>
    </row>
    <row r="1068" spans="1:7" ht="14.25" customHeight="1" x14ac:dyDescent="0.3">
      <c r="A1068" s="41">
        <v>45499</v>
      </c>
      <c r="B1068" s="42">
        <v>3679.89990234375</v>
      </c>
      <c r="C1068" s="42">
        <v>24834.849609375</v>
      </c>
      <c r="D1068" s="289">
        <f t="shared" si="32"/>
        <v>1.756732976027461E-2</v>
      </c>
      <c r="E1068" s="289">
        <f t="shared" si="33"/>
        <v>1.6785709804575513E-2</v>
      </c>
      <c r="F1068" s="14"/>
      <c r="G1068" s="14"/>
    </row>
    <row r="1069" spans="1:7" ht="14.25" customHeight="1" x14ac:dyDescent="0.3">
      <c r="A1069" s="41">
        <v>45502</v>
      </c>
      <c r="B1069" s="42">
        <v>3774.94995117188</v>
      </c>
      <c r="C1069" s="42">
        <v>24836.099609375</v>
      </c>
      <c r="D1069" s="289">
        <f t="shared" si="32"/>
        <v>5.0332497263367071E-5</v>
      </c>
      <c r="E1069" s="289">
        <f t="shared" si="33"/>
        <v>2.5829520190913908E-2</v>
      </c>
      <c r="F1069" s="14"/>
      <c r="G1069" s="14"/>
    </row>
    <row r="1070" spans="1:7" ht="14.25" customHeight="1" x14ac:dyDescent="0.3">
      <c r="A1070" s="41">
        <v>45503</v>
      </c>
      <c r="B1070" s="42">
        <v>3784.64990234375</v>
      </c>
      <c r="C1070" s="42">
        <v>24857.30078125</v>
      </c>
      <c r="D1070" s="289">
        <f t="shared" si="32"/>
        <v>8.5364337430008915E-4</v>
      </c>
      <c r="E1070" s="289">
        <f t="shared" si="33"/>
        <v>2.5695575563482067E-3</v>
      </c>
      <c r="F1070" s="14"/>
      <c r="G1070" s="14"/>
    </row>
    <row r="1071" spans="1:7" ht="14.25" customHeight="1" x14ac:dyDescent="0.3">
      <c r="A1071" s="41">
        <v>45504</v>
      </c>
      <c r="B1071" s="42">
        <v>3815</v>
      </c>
      <c r="C1071" s="42">
        <v>24951.150390625</v>
      </c>
      <c r="D1071" s="289">
        <f t="shared" si="32"/>
        <v>3.7755350108564997E-3</v>
      </c>
      <c r="E1071" s="289">
        <f t="shared" si="33"/>
        <v>8.0192616065900453E-3</v>
      </c>
      <c r="F1071" s="14"/>
      <c r="G1071" s="14"/>
    </row>
    <row r="1072" spans="1:7" ht="14.25" customHeight="1" x14ac:dyDescent="0.3">
      <c r="A1072" s="41">
        <v>45505</v>
      </c>
      <c r="B1072" s="42">
        <v>3779.30004882813</v>
      </c>
      <c r="C1072" s="42">
        <v>25010.900390625</v>
      </c>
      <c r="D1072" s="289">
        <f t="shared" si="32"/>
        <v>2.3946791656728628E-3</v>
      </c>
      <c r="E1072" s="289">
        <f t="shared" si="33"/>
        <v>-9.357785366152031E-3</v>
      </c>
      <c r="F1072" s="14"/>
      <c r="G1072" s="14"/>
    </row>
    <row r="1073" spans="1:7" ht="14.25" customHeight="1" x14ac:dyDescent="0.3">
      <c r="A1073" s="41">
        <v>45506</v>
      </c>
      <c r="B1073" s="42">
        <v>3665.69995117188</v>
      </c>
      <c r="C1073" s="42">
        <v>24717.69921875</v>
      </c>
      <c r="D1073" s="289">
        <f t="shared" si="32"/>
        <v>-1.1722935491954641E-2</v>
      </c>
      <c r="E1073" s="289">
        <f t="shared" si="33"/>
        <v>-3.0058501888854963E-2</v>
      </c>
      <c r="F1073" s="14"/>
      <c r="G1073" s="14"/>
    </row>
    <row r="1074" spans="1:7" ht="14.25" customHeight="1" x14ac:dyDescent="0.3">
      <c r="A1074" s="41">
        <v>45509</v>
      </c>
      <c r="B1074" s="42">
        <v>3528</v>
      </c>
      <c r="C1074" s="42">
        <v>24055.599609375</v>
      </c>
      <c r="D1074" s="289">
        <f t="shared" si="32"/>
        <v>-2.6786457894622889E-2</v>
      </c>
      <c r="E1074" s="289">
        <f t="shared" si="33"/>
        <v>-3.7564435989328314E-2</v>
      </c>
      <c r="F1074" s="14"/>
      <c r="G1074" s="14"/>
    </row>
    <row r="1075" spans="1:7" ht="14.25" customHeight="1" x14ac:dyDescent="0.3">
      <c r="A1075" s="41">
        <v>45510</v>
      </c>
      <c r="B1075" s="42">
        <v>3576.19995117188</v>
      </c>
      <c r="C1075" s="42">
        <v>23992.55078125</v>
      </c>
      <c r="D1075" s="289">
        <f t="shared" si="32"/>
        <v>-2.6209626510589443E-3</v>
      </c>
      <c r="E1075" s="289">
        <f t="shared" si="33"/>
        <v>1.3662117679104309E-2</v>
      </c>
      <c r="F1075" s="14"/>
      <c r="G1075" s="14"/>
    </row>
    <row r="1076" spans="1:7" ht="14.25" customHeight="1" x14ac:dyDescent="0.3">
      <c r="A1076" s="41">
        <v>45511</v>
      </c>
      <c r="B1076" s="42">
        <v>3638.25</v>
      </c>
      <c r="C1076" s="42">
        <v>24297.5</v>
      </c>
      <c r="D1076" s="289">
        <f t="shared" si="32"/>
        <v>1.2710162480444369E-2</v>
      </c>
      <c r="E1076" s="289">
        <f t="shared" si="33"/>
        <v>1.735083319594222E-2</v>
      </c>
      <c r="F1076" s="14"/>
      <c r="G1076" s="14"/>
    </row>
    <row r="1077" spans="1:7" ht="14.25" customHeight="1" x14ac:dyDescent="0.3">
      <c r="A1077" s="41">
        <v>45512</v>
      </c>
      <c r="B1077" s="42">
        <v>3553.55004882813</v>
      </c>
      <c r="C1077" s="42">
        <v>24117</v>
      </c>
      <c r="D1077" s="289">
        <f t="shared" si="32"/>
        <v>-7.428747813561066E-3</v>
      </c>
      <c r="E1077" s="289">
        <f t="shared" si="33"/>
        <v>-2.3280409859649555E-2</v>
      </c>
      <c r="F1077" s="14"/>
      <c r="G1077" s="14"/>
    </row>
    <row r="1078" spans="1:7" ht="14.25" customHeight="1" x14ac:dyDescent="0.3">
      <c r="A1078" s="41">
        <v>45513</v>
      </c>
      <c r="B1078" s="42">
        <v>3592.05004882813</v>
      </c>
      <c r="C1078" s="42">
        <v>24367.5</v>
      </c>
      <c r="D1078" s="289">
        <f t="shared" si="32"/>
        <v>1.0386864037815649E-2</v>
      </c>
      <c r="E1078" s="289">
        <f t="shared" si="33"/>
        <v>1.0834236037479286E-2</v>
      </c>
      <c r="F1078" s="14"/>
      <c r="G1078" s="14"/>
    </row>
    <row r="1079" spans="1:7" ht="14.25" customHeight="1" x14ac:dyDescent="0.3">
      <c r="A1079" s="41">
        <v>45516</v>
      </c>
      <c r="B1079" s="42">
        <v>3571.94995117188</v>
      </c>
      <c r="C1079" s="42">
        <v>24347</v>
      </c>
      <c r="D1079" s="289">
        <f t="shared" si="32"/>
        <v>-8.412844977941931E-4</v>
      </c>
      <c r="E1079" s="289">
        <f t="shared" si="33"/>
        <v>-5.5957175938590982E-3</v>
      </c>
      <c r="F1079" s="14"/>
      <c r="G1079" s="14"/>
    </row>
    <row r="1080" spans="1:7" ht="14.25" customHeight="1" x14ac:dyDescent="0.3">
      <c r="A1080" s="41">
        <v>45517</v>
      </c>
      <c r="B1080" s="42">
        <v>3551.80004882813</v>
      </c>
      <c r="C1080" s="42">
        <v>24139</v>
      </c>
      <c r="D1080" s="289">
        <f t="shared" si="32"/>
        <v>-8.5431469996303452E-3</v>
      </c>
      <c r="E1080" s="289">
        <f t="shared" si="33"/>
        <v>-5.6411491256027398E-3</v>
      </c>
      <c r="F1080" s="14"/>
      <c r="G1080" s="14"/>
    </row>
    <row r="1081" spans="1:7" ht="14.25" customHeight="1" x14ac:dyDescent="0.3">
      <c r="A1081" s="41">
        <v>45518</v>
      </c>
      <c r="B1081" s="42">
        <v>3545.19995117188</v>
      </c>
      <c r="C1081" s="42">
        <v>24143.75</v>
      </c>
      <c r="D1081" s="289">
        <f t="shared" si="32"/>
        <v>1.9677699987571978E-4</v>
      </c>
      <c r="E1081" s="289">
        <f t="shared" si="33"/>
        <v>-1.8582402065194003E-3</v>
      </c>
      <c r="F1081" s="14"/>
      <c r="G1081" s="14"/>
    </row>
    <row r="1082" spans="1:7" ht="14.25" customHeight="1" x14ac:dyDescent="0.3">
      <c r="A1082" s="41">
        <v>45520</v>
      </c>
      <c r="B1082" s="42">
        <v>3568.35009765625</v>
      </c>
      <c r="C1082" s="42">
        <v>24541.150390625</v>
      </c>
      <c r="D1082" s="289">
        <f t="shared" si="32"/>
        <v>1.6459762490292518E-2</v>
      </c>
      <c r="E1082" s="289">
        <f t="shared" si="33"/>
        <v>6.5299974058494565E-3</v>
      </c>
      <c r="F1082" s="14"/>
      <c r="G1082" s="14"/>
    </row>
    <row r="1083" spans="1:7" ht="14.25" customHeight="1" x14ac:dyDescent="0.3">
      <c r="A1083" s="41">
        <v>45523</v>
      </c>
      <c r="B1083" s="42">
        <v>3555.05004882813</v>
      </c>
      <c r="C1083" s="42">
        <v>24572.650390625</v>
      </c>
      <c r="D1083" s="289">
        <f t="shared" si="32"/>
        <v>1.2835584110202657E-3</v>
      </c>
      <c r="E1083" s="289">
        <f t="shared" si="33"/>
        <v>-3.7272264391477968E-3</v>
      </c>
      <c r="F1083" s="14"/>
      <c r="G1083" s="14"/>
    </row>
    <row r="1084" spans="1:7" ht="14.25" customHeight="1" x14ac:dyDescent="0.3">
      <c r="A1084" s="41">
        <v>45524</v>
      </c>
      <c r="B1084" s="42">
        <v>3572.69995117188</v>
      </c>
      <c r="C1084" s="42">
        <v>24698.849609375</v>
      </c>
      <c r="D1084" s="289">
        <f t="shared" si="32"/>
        <v>5.1357593399101852E-3</v>
      </c>
      <c r="E1084" s="289">
        <f t="shared" si="33"/>
        <v>4.9647408900946504E-3</v>
      </c>
      <c r="F1084" s="14"/>
      <c r="G1084" s="14"/>
    </row>
    <row r="1085" spans="1:7" ht="14.25" customHeight="1" x14ac:dyDescent="0.3">
      <c r="A1085" s="41">
        <v>45525</v>
      </c>
      <c r="B1085" s="42">
        <v>3596.05004882813</v>
      </c>
      <c r="C1085" s="42">
        <v>24770.19921875</v>
      </c>
      <c r="D1085" s="289">
        <f t="shared" si="32"/>
        <v>2.8887826964992596E-3</v>
      </c>
      <c r="E1085" s="289">
        <f t="shared" si="33"/>
        <v>6.5357007236476559E-3</v>
      </c>
      <c r="F1085" s="14"/>
      <c r="G1085" s="14"/>
    </row>
    <row r="1086" spans="1:7" ht="14.25" customHeight="1" x14ac:dyDescent="0.3">
      <c r="A1086" s="41">
        <v>45526</v>
      </c>
      <c r="B1086" s="42">
        <v>3606.5</v>
      </c>
      <c r="C1086" s="42">
        <v>24811.5</v>
      </c>
      <c r="D1086" s="289">
        <f t="shared" si="32"/>
        <v>1.667357653657345E-3</v>
      </c>
      <c r="E1086" s="289">
        <f t="shared" si="33"/>
        <v>2.9059526508190274E-3</v>
      </c>
      <c r="F1086" s="14"/>
      <c r="G1086" s="14"/>
    </row>
    <row r="1087" spans="1:7" ht="14.25" customHeight="1" x14ac:dyDescent="0.3">
      <c r="A1087" s="41">
        <v>45527</v>
      </c>
      <c r="B1087" s="42">
        <v>3598.55004882813</v>
      </c>
      <c r="C1087" s="42">
        <v>24823.150390625</v>
      </c>
      <c r="D1087" s="289">
        <f t="shared" si="32"/>
        <v>4.6955607782681415E-4</v>
      </c>
      <c r="E1087" s="289">
        <f t="shared" si="33"/>
        <v>-2.2043397121502837E-3</v>
      </c>
      <c r="F1087" s="14"/>
      <c r="G1087" s="14"/>
    </row>
    <row r="1088" spans="1:7" ht="14.25" customHeight="1" x14ac:dyDescent="0.3">
      <c r="A1088" s="41">
        <v>45530</v>
      </c>
      <c r="B1088" s="42">
        <v>3641.89990234375</v>
      </c>
      <c r="C1088" s="42">
        <v>25010.599609375</v>
      </c>
      <c r="D1088" s="289">
        <f t="shared" si="32"/>
        <v>7.551387144670978E-3</v>
      </c>
      <c r="E1088" s="289">
        <f t="shared" si="33"/>
        <v>1.2046477866755502E-2</v>
      </c>
      <c r="F1088" s="14"/>
      <c r="G1088" s="14"/>
    </row>
    <row r="1089" spans="1:7" ht="14.25" customHeight="1" x14ac:dyDescent="0.3">
      <c r="A1089" s="41">
        <v>45531</v>
      </c>
      <c r="B1089" s="42">
        <v>3702.69995117188</v>
      </c>
      <c r="C1089" s="42">
        <v>25017.75</v>
      </c>
      <c r="D1089" s="289">
        <f t="shared" si="32"/>
        <v>2.8589441023715959E-4</v>
      </c>
      <c r="E1089" s="289">
        <f t="shared" si="33"/>
        <v>1.6694596353129323E-2</v>
      </c>
      <c r="F1089" s="14"/>
      <c r="G1089" s="14"/>
    </row>
    <row r="1090" spans="1:7" ht="14.25" customHeight="1" x14ac:dyDescent="0.3">
      <c r="A1090" s="41">
        <v>45532</v>
      </c>
      <c r="B1090" s="42">
        <v>3689.05004882813</v>
      </c>
      <c r="C1090" s="42">
        <v>25052.349609375</v>
      </c>
      <c r="D1090" s="289">
        <f t="shared" si="32"/>
        <v>1.3830024432652816E-3</v>
      </c>
      <c r="E1090" s="289">
        <f t="shared" si="33"/>
        <v>-3.6864727155193596E-3</v>
      </c>
      <c r="F1090" s="14"/>
      <c r="G1090" s="14"/>
    </row>
    <row r="1091" spans="1:7" ht="14.25" customHeight="1" x14ac:dyDescent="0.3">
      <c r="A1091" s="41">
        <v>45533</v>
      </c>
      <c r="B1091" s="42">
        <v>3683.44995117188</v>
      </c>
      <c r="C1091" s="42">
        <v>25151.94921875</v>
      </c>
      <c r="D1091" s="289">
        <f t="shared" ref="D1091:D1154" si="34">(C1091-C1090)/C1090</f>
        <v>3.9756594063228385E-3</v>
      </c>
      <c r="E1091" s="289">
        <f t="shared" ref="E1091:E1154" si="35">(B1091-B1090)/B1090</f>
        <v>-1.5180324425332578E-3</v>
      </c>
      <c r="F1091" s="14"/>
      <c r="G1091" s="14"/>
    </row>
    <row r="1092" spans="1:7" ht="14.25" customHeight="1" x14ac:dyDescent="0.3">
      <c r="A1092" s="41">
        <v>45534</v>
      </c>
      <c r="B1092" s="42">
        <v>3704.64990234375</v>
      </c>
      <c r="C1092" s="42">
        <v>25235.900390625</v>
      </c>
      <c r="D1092" s="289">
        <f t="shared" si="34"/>
        <v>3.3377600735777966E-3</v>
      </c>
      <c r="E1092" s="289">
        <f t="shared" si="35"/>
        <v>5.7554606287307606E-3</v>
      </c>
      <c r="F1092" s="14"/>
      <c r="G1092" s="14"/>
    </row>
    <row r="1093" spans="1:7" ht="14.25" customHeight="1" x14ac:dyDescent="0.3">
      <c r="A1093" s="41">
        <v>45537</v>
      </c>
      <c r="B1093" s="42">
        <v>3683.10009765625</v>
      </c>
      <c r="C1093" s="42">
        <v>25278.69921875</v>
      </c>
      <c r="D1093" s="289">
        <f t="shared" si="34"/>
        <v>1.6959501132323192E-3</v>
      </c>
      <c r="E1093" s="289">
        <f t="shared" si="35"/>
        <v>-5.8169611854190315E-3</v>
      </c>
      <c r="F1093" s="14"/>
      <c r="G1093" s="14"/>
    </row>
    <row r="1094" spans="1:7" ht="14.25" customHeight="1" x14ac:dyDescent="0.3">
      <c r="A1094" s="41">
        <v>45538</v>
      </c>
      <c r="B1094" s="42">
        <v>3690.14990234375</v>
      </c>
      <c r="C1094" s="42">
        <v>25279.849609375</v>
      </c>
      <c r="D1094" s="289">
        <f t="shared" si="34"/>
        <v>4.5508299894905958E-5</v>
      </c>
      <c r="E1094" s="289">
        <f t="shared" si="35"/>
        <v>1.9140953274623628E-3</v>
      </c>
      <c r="F1094" s="14"/>
      <c r="G1094" s="14"/>
    </row>
    <row r="1095" spans="1:7" ht="14.25" customHeight="1" x14ac:dyDescent="0.3">
      <c r="A1095" s="41">
        <v>45539</v>
      </c>
      <c r="B1095" s="42">
        <v>3650.80004882813</v>
      </c>
      <c r="C1095" s="42">
        <v>25198.69921875</v>
      </c>
      <c r="D1095" s="289">
        <f t="shared" si="34"/>
        <v>-3.2100820170585776E-3</v>
      </c>
      <c r="E1095" s="289">
        <f t="shared" si="35"/>
        <v>-1.0663483749163538E-2</v>
      </c>
      <c r="F1095" s="14"/>
      <c r="G1095" s="14"/>
    </row>
    <row r="1096" spans="1:7" ht="14.25" customHeight="1" x14ac:dyDescent="0.3">
      <c r="A1096" s="41">
        <v>45540</v>
      </c>
      <c r="B1096" s="42">
        <v>3624.14990234375</v>
      </c>
      <c r="C1096" s="42">
        <v>25145.099609375</v>
      </c>
      <c r="D1096" s="289">
        <f t="shared" si="34"/>
        <v>-2.1270784221717794E-3</v>
      </c>
      <c r="E1096" s="289">
        <f t="shared" si="35"/>
        <v>-7.2998099397238777E-3</v>
      </c>
      <c r="F1096" s="14"/>
      <c r="G1096" s="14"/>
    </row>
    <row r="1097" spans="1:7" ht="14.25" customHeight="1" x14ac:dyDescent="0.3">
      <c r="A1097" s="41">
        <v>45541</v>
      </c>
      <c r="B1097" s="42">
        <v>3574.75</v>
      </c>
      <c r="C1097" s="42">
        <v>24852.150390625</v>
      </c>
      <c r="D1097" s="289">
        <f t="shared" si="34"/>
        <v>-1.1650350298901897E-2</v>
      </c>
      <c r="E1097" s="289">
        <f t="shared" si="35"/>
        <v>-1.3630755811674047E-2</v>
      </c>
      <c r="F1097" s="14"/>
      <c r="G1097" s="14"/>
    </row>
    <row r="1098" spans="1:7" ht="14.25" customHeight="1" x14ac:dyDescent="0.3">
      <c r="A1098" s="41">
        <v>45544</v>
      </c>
      <c r="B1098" s="42">
        <v>3578.30004882813</v>
      </c>
      <c r="C1098" s="42">
        <v>24936.400390625</v>
      </c>
      <c r="D1098" s="289">
        <f t="shared" si="34"/>
        <v>3.3900486950127948E-3</v>
      </c>
      <c r="E1098" s="289">
        <f t="shared" si="35"/>
        <v>9.9309009808518133E-4</v>
      </c>
      <c r="F1098" s="14"/>
      <c r="G1098" s="14"/>
    </row>
    <row r="1099" spans="1:7" ht="14.25" customHeight="1" x14ac:dyDescent="0.3">
      <c r="A1099" s="41">
        <v>45545</v>
      </c>
      <c r="B1099" s="42">
        <v>3596.14990234375</v>
      </c>
      <c r="C1099" s="42">
        <v>25041.099609375</v>
      </c>
      <c r="D1099" s="289">
        <f t="shared" si="34"/>
        <v>4.1986500501236075E-3</v>
      </c>
      <c r="E1099" s="289">
        <f t="shared" si="35"/>
        <v>4.9883613090147957E-3</v>
      </c>
      <c r="F1099" s="14"/>
      <c r="G1099" s="14"/>
    </row>
    <row r="1100" spans="1:7" ht="14.25" customHeight="1" x14ac:dyDescent="0.3">
      <c r="A1100" s="41">
        <v>45546</v>
      </c>
      <c r="B1100" s="42">
        <v>3536.94995117188</v>
      </c>
      <c r="C1100" s="42">
        <v>24918.44921875</v>
      </c>
      <c r="D1100" s="289">
        <f t="shared" si="34"/>
        <v>-4.8979634496195048E-3</v>
      </c>
      <c r="E1100" s="289">
        <f t="shared" si="35"/>
        <v>-1.6462036561180917E-2</v>
      </c>
      <c r="F1100" s="14"/>
      <c r="G1100" s="14"/>
    </row>
    <row r="1101" spans="1:7" ht="14.25" customHeight="1" x14ac:dyDescent="0.3">
      <c r="A1101" s="41">
        <v>45547</v>
      </c>
      <c r="B1101" s="42">
        <v>3622</v>
      </c>
      <c r="C1101" s="42">
        <v>25388.900390625</v>
      </c>
      <c r="D1101" s="289">
        <f t="shared" si="34"/>
        <v>1.8879632827271085E-2</v>
      </c>
      <c r="E1101" s="289">
        <f t="shared" si="35"/>
        <v>2.4046155586663245E-2</v>
      </c>
      <c r="F1101" s="14"/>
      <c r="G1101" s="14"/>
    </row>
    <row r="1102" spans="1:7" ht="14.25" customHeight="1" x14ac:dyDescent="0.3">
      <c r="A1102" s="41">
        <v>45548</v>
      </c>
      <c r="B1102" s="42">
        <v>3613</v>
      </c>
      <c r="C1102" s="42">
        <v>25356.5</v>
      </c>
      <c r="D1102" s="289">
        <f t="shared" si="34"/>
        <v>-1.2761636040355664E-3</v>
      </c>
      <c r="E1102" s="289">
        <f t="shared" si="35"/>
        <v>-2.4848150193263392E-3</v>
      </c>
      <c r="F1102" s="14"/>
      <c r="G1102" s="14"/>
    </row>
    <row r="1103" spans="1:7" ht="14.25" customHeight="1" x14ac:dyDescent="0.3">
      <c r="A1103" s="41">
        <v>45551</v>
      </c>
      <c r="B1103" s="42">
        <v>3662.25</v>
      </c>
      <c r="C1103" s="42">
        <v>25383.75</v>
      </c>
      <c r="D1103" s="289">
        <f t="shared" si="34"/>
        <v>1.0746751326089958E-3</v>
      </c>
      <c r="E1103" s="289">
        <f t="shared" si="35"/>
        <v>1.3631331303625796E-2</v>
      </c>
      <c r="F1103" s="14"/>
      <c r="G1103" s="14"/>
    </row>
    <row r="1104" spans="1:7" ht="14.25" customHeight="1" x14ac:dyDescent="0.3">
      <c r="A1104" s="41">
        <v>45552</v>
      </c>
      <c r="B1104" s="42">
        <v>3695.19995117188</v>
      </c>
      <c r="C1104" s="42">
        <v>25418.55078125</v>
      </c>
      <c r="D1104" s="289">
        <f t="shared" si="34"/>
        <v>1.3709866056039789E-3</v>
      </c>
      <c r="E1104" s="289">
        <f t="shared" si="35"/>
        <v>8.9971878413215925E-3</v>
      </c>
      <c r="F1104" s="14"/>
      <c r="G1104" s="14"/>
    </row>
    <row r="1105" spans="1:7" ht="14.25" customHeight="1" x14ac:dyDescent="0.3">
      <c r="A1105" s="41">
        <v>45553</v>
      </c>
      <c r="B1105" s="42">
        <v>3730.44995117188</v>
      </c>
      <c r="C1105" s="42">
        <v>25377.55078125</v>
      </c>
      <c r="D1105" s="289">
        <f t="shared" si="34"/>
        <v>-1.6129951842196943E-3</v>
      </c>
      <c r="E1105" s="289">
        <f t="shared" si="35"/>
        <v>9.5394025941196951E-3</v>
      </c>
      <c r="F1105" s="14"/>
      <c r="G1105" s="14"/>
    </row>
    <row r="1106" spans="1:7" ht="14.25" customHeight="1" x14ac:dyDescent="0.3">
      <c r="A1106" s="41">
        <v>45554</v>
      </c>
      <c r="B1106" s="42">
        <v>3683.69995117188</v>
      </c>
      <c r="C1106" s="42">
        <v>25415.80078125</v>
      </c>
      <c r="D1106" s="289">
        <f t="shared" si="34"/>
        <v>1.5072376499098844E-3</v>
      </c>
      <c r="E1106" s="289">
        <f t="shared" si="35"/>
        <v>-1.2532000324870731E-2</v>
      </c>
      <c r="F1106" s="14"/>
      <c r="G1106" s="14"/>
    </row>
    <row r="1107" spans="1:7" ht="14.25" customHeight="1" x14ac:dyDescent="0.3">
      <c r="A1107" s="41">
        <v>45555</v>
      </c>
      <c r="B1107" s="42">
        <v>3793.89990234375</v>
      </c>
      <c r="C1107" s="42">
        <v>25790.94921875</v>
      </c>
      <c r="D1107" s="289">
        <f t="shared" si="34"/>
        <v>1.4760441377741608E-2</v>
      </c>
      <c r="E1107" s="289">
        <f t="shared" si="35"/>
        <v>2.9915561156606294E-2</v>
      </c>
      <c r="F1107" s="14"/>
      <c r="G1107" s="14"/>
    </row>
    <row r="1108" spans="1:7" ht="14.25" customHeight="1" x14ac:dyDescent="0.3">
      <c r="A1108" s="41">
        <v>45558</v>
      </c>
      <c r="B1108" s="42">
        <v>3787.69995117188</v>
      </c>
      <c r="C1108" s="42">
        <v>25939.05078125</v>
      </c>
      <c r="D1108" s="289">
        <f t="shared" si="34"/>
        <v>5.7423850996662926E-3</v>
      </c>
      <c r="E1108" s="289">
        <f t="shared" si="35"/>
        <v>-1.6341894439649992E-3</v>
      </c>
      <c r="F1108" s="14"/>
      <c r="G1108" s="14"/>
    </row>
    <row r="1109" spans="1:7" ht="14.25" customHeight="1" x14ac:dyDescent="0.3">
      <c r="A1109" s="41">
        <v>45559</v>
      </c>
      <c r="B1109" s="42">
        <v>3791.60009765625</v>
      </c>
      <c r="C1109" s="42">
        <v>25940.400390625</v>
      </c>
      <c r="D1109" s="289">
        <f t="shared" si="34"/>
        <v>5.2030021699003842E-5</v>
      </c>
      <c r="E1109" s="289">
        <f t="shared" si="35"/>
        <v>1.0296872863869082E-3</v>
      </c>
      <c r="F1109" s="14"/>
      <c r="G1109" s="14"/>
    </row>
    <row r="1110" spans="1:7" ht="14.25" customHeight="1" x14ac:dyDescent="0.3">
      <c r="A1110" s="41">
        <v>45560</v>
      </c>
      <c r="B1110" s="42">
        <v>3793.85009765625</v>
      </c>
      <c r="C1110" s="42">
        <v>26004.150390625</v>
      </c>
      <c r="D1110" s="289">
        <f t="shared" si="34"/>
        <v>2.4575565157058869E-3</v>
      </c>
      <c r="E1110" s="289">
        <f t="shared" si="35"/>
        <v>5.9341701182854731E-4</v>
      </c>
      <c r="F1110" s="14"/>
      <c r="G1110" s="14"/>
    </row>
    <row r="1111" spans="1:7" ht="14.25" customHeight="1" x14ac:dyDescent="0.3">
      <c r="A1111" s="41">
        <v>45561</v>
      </c>
      <c r="B1111" s="42">
        <v>3762.14990234375</v>
      </c>
      <c r="C1111" s="42">
        <v>26216.05078125</v>
      </c>
      <c r="D1111" s="289">
        <f t="shared" si="34"/>
        <v>8.1487142414540942E-3</v>
      </c>
      <c r="E1111" s="289">
        <f t="shared" si="35"/>
        <v>-8.3556794539888703E-3</v>
      </c>
      <c r="F1111" s="14"/>
      <c r="G1111" s="14"/>
    </row>
    <row r="1112" spans="1:7" ht="14.25" customHeight="1" x14ac:dyDescent="0.3">
      <c r="A1112" s="41">
        <v>45562</v>
      </c>
      <c r="B1112" s="42">
        <v>3705.64990234375</v>
      </c>
      <c r="C1112" s="42">
        <v>26178.94921875</v>
      </c>
      <c r="D1112" s="289">
        <f t="shared" si="34"/>
        <v>-1.4152231703234049E-3</v>
      </c>
      <c r="E1112" s="289">
        <f t="shared" si="35"/>
        <v>-1.5018008709541729E-2</v>
      </c>
      <c r="F1112" s="14"/>
      <c r="G1112" s="14"/>
    </row>
    <row r="1113" spans="1:7" ht="14.25" customHeight="1" x14ac:dyDescent="0.3">
      <c r="A1113" s="41">
        <v>45565</v>
      </c>
      <c r="B1113" s="42">
        <v>3675.55004882813</v>
      </c>
      <c r="C1113" s="42">
        <v>25810.849609375</v>
      </c>
      <c r="D1113" s="289">
        <f t="shared" si="34"/>
        <v>-1.406090085202343E-2</v>
      </c>
      <c r="E1113" s="289">
        <f t="shared" si="35"/>
        <v>-8.1226921886448141E-3</v>
      </c>
      <c r="F1113" s="14"/>
      <c r="G1113" s="14"/>
    </row>
    <row r="1114" spans="1:7" ht="14.25" customHeight="1" x14ac:dyDescent="0.3">
      <c r="A1114" s="41">
        <v>45566</v>
      </c>
      <c r="B1114" s="42">
        <v>3653.5</v>
      </c>
      <c r="C1114" s="42">
        <v>25796.900390625</v>
      </c>
      <c r="D1114" s="289">
        <f t="shared" si="34"/>
        <v>-5.4044012347944466E-4</v>
      </c>
      <c r="E1114" s="289">
        <f t="shared" si="35"/>
        <v>-5.9991153800667699E-3</v>
      </c>
      <c r="F1114" s="14"/>
      <c r="G1114" s="14"/>
    </row>
    <row r="1115" spans="1:7" ht="14.25" customHeight="1" x14ac:dyDescent="0.3">
      <c r="A1115" s="41">
        <v>45568</v>
      </c>
      <c r="B1115" s="42">
        <v>3497.64990234375</v>
      </c>
      <c r="C1115" s="42">
        <v>25250.099609375</v>
      </c>
      <c r="D1115" s="289">
        <f t="shared" si="34"/>
        <v>-2.1196375260987402E-2</v>
      </c>
      <c r="E1115" s="289">
        <f t="shared" si="35"/>
        <v>-4.2657752198234568E-2</v>
      </c>
      <c r="F1115" s="14"/>
      <c r="G1115" s="14"/>
    </row>
    <row r="1116" spans="1:7" ht="14.25" customHeight="1" x14ac:dyDescent="0.3">
      <c r="A1116" s="41">
        <v>45569</v>
      </c>
      <c r="B1116" s="42">
        <v>3493.94995117188</v>
      </c>
      <c r="C1116" s="42">
        <v>25014.599609375</v>
      </c>
      <c r="D1116" s="289">
        <f t="shared" si="34"/>
        <v>-9.3266958801446562E-3</v>
      </c>
      <c r="E1116" s="289">
        <f t="shared" si="35"/>
        <v>-1.0578391992265112E-3</v>
      </c>
      <c r="F1116" s="14"/>
      <c r="G1116" s="14"/>
    </row>
    <row r="1117" spans="1:7" ht="14.25" customHeight="1" x14ac:dyDescent="0.3">
      <c r="A1117" s="41">
        <v>45572</v>
      </c>
      <c r="B1117" s="42">
        <v>3468.35009765625</v>
      </c>
      <c r="C1117" s="42">
        <v>24795.75</v>
      </c>
      <c r="D1117" s="289">
        <f t="shared" si="34"/>
        <v>-8.7488751686027114E-3</v>
      </c>
      <c r="E1117" s="289">
        <f t="shared" si="35"/>
        <v>-7.3269090494681366E-3</v>
      </c>
      <c r="F1117" s="14"/>
      <c r="G1117" s="14"/>
    </row>
    <row r="1118" spans="1:7" ht="14.25" customHeight="1" x14ac:dyDescent="0.3">
      <c r="A1118" s="41">
        <v>45573</v>
      </c>
      <c r="B1118" s="42">
        <v>3532.39990234375</v>
      </c>
      <c r="C1118" s="42">
        <v>25013.150390625</v>
      </c>
      <c r="D1118" s="289">
        <f t="shared" si="34"/>
        <v>8.7676473034693451E-3</v>
      </c>
      <c r="E1118" s="289">
        <f t="shared" si="35"/>
        <v>1.8466937559383605E-2</v>
      </c>
      <c r="F1118" s="14"/>
      <c r="G1118" s="14"/>
    </row>
    <row r="1119" spans="1:7" ht="14.25" customHeight="1" x14ac:dyDescent="0.3">
      <c r="A1119" s="41">
        <v>45574</v>
      </c>
      <c r="B1119" s="42">
        <v>3487.10009765625</v>
      </c>
      <c r="C1119" s="42">
        <v>24981.94921875</v>
      </c>
      <c r="D1119" s="289">
        <f t="shared" si="34"/>
        <v>-1.2473907279865989E-3</v>
      </c>
      <c r="E1119" s="289">
        <f t="shared" si="35"/>
        <v>-1.2824087289053413E-2</v>
      </c>
      <c r="F1119" s="14"/>
      <c r="G1119" s="14"/>
    </row>
    <row r="1120" spans="1:7" ht="14.25" customHeight="1" x14ac:dyDescent="0.3">
      <c r="A1120" s="41">
        <v>45575</v>
      </c>
      <c r="B1120" s="42">
        <v>3460.35009765625</v>
      </c>
      <c r="C1120" s="42">
        <v>24998.44921875</v>
      </c>
      <c r="D1120" s="289">
        <f t="shared" si="34"/>
        <v>6.6047688495083712E-4</v>
      </c>
      <c r="E1120" s="289">
        <f t="shared" si="35"/>
        <v>-7.6711305241794498E-3</v>
      </c>
      <c r="F1120" s="14"/>
      <c r="G1120" s="14"/>
    </row>
    <row r="1121" spans="1:7" ht="14.25" customHeight="1" x14ac:dyDescent="0.3">
      <c r="A1121" s="41">
        <v>45576</v>
      </c>
      <c r="B1121" s="42">
        <v>3482.55004882813</v>
      </c>
      <c r="C1121" s="42">
        <v>24964.25</v>
      </c>
      <c r="D1121" s="289">
        <f t="shared" si="34"/>
        <v>-1.3680536120756241E-3</v>
      </c>
      <c r="E1121" s="289">
        <f t="shared" si="35"/>
        <v>6.415521708891936E-3</v>
      </c>
      <c r="F1121" s="14"/>
      <c r="G1121" s="14"/>
    </row>
    <row r="1122" spans="1:7" ht="14.25" customHeight="1" x14ac:dyDescent="0.3">
      <c r="A1122" s="41">
        <v>45579</v>
      </c>
      <c r="B1122" s="42">
        <v>3555.05004882813</v>
      </c>
      <c r="C1122" s="42">
        <v>25127.94921875</v>
      </c>
      <c r="D1122" s="289">
        <f t="shared" si="34"/>
        <v>6.5573457544288337E-3</v>
      </c>
      <c r="E1122" s="289">
        <f t="shared" si="35"/>
        <v>2.0818078414808736E-2</v>
      </c>
      <c r="F1122" s="14"/>
      <c r="G1122" s="14"/>
    </row>
    <row r="1123" spans="1:7" ht="14.25" customHeight="1" x14ac:dyDescent="0.3">
      <c r="A1123" s="41">
        <v>45580</v>
      </c>
      <c r="B1123" s="42">
        <v>3551.89990234375</v>
      </c>
      <c r="C1123" s="42">
        <v>25057.349609375</v>
      </c>
      <c r="D1123" s="289">
        <f t="shared" si="34"/>
        <v>-2.8096049048968912E-3</v>
      </c>
      <c r="E1123" s="289">
        <f t="shared" si="35"/>
        <v>-8.8610467957220512E-4</v>
      </c>
      <c r="F1123" s="14"/>
      <c r="G1123" s="14"/>
    </row>
    <row r="1124" spans="1:7" ht="14.25" customHeight="1" x14ac:dyDescent="0.3">
      <c r="A1124" s="41">
        <v>45581</v>
      </c>
      <c r="B1124" s="42">
        <v>3532.60009765625</v>
      </c>
      <c r="C1124" s="42">
        <v>24971.30078125</v>
      </c>
      <c r="D1124" s="289">
        <f t="shared" si="34"/>
        <v>-3.4340754096676505E-3</v>
      </c>
      <c r="E1124" s="289">
        <f t="shared" si="35"/>
        <v>-5.4336566958896751E-3</v>
      </c>
      <c r="F1124" s="14"/>
      <c r="G1124" s="14"/>
    </row>
    <row r="1125" spans="1:7" ht="14.25" customHeight="1" x14ac:dyDescent="0.3">
      <c r="A1125" s="41">
        <v>45582</v>
      </c>
      <c r="B1125" s="42">
        <v>3570.30004882813</v>
      </c>
      <c r="C1125" s="42">
        <v>24749.849609375</v>
      </c>
      <c r="D1125" s="289">
        <f t="shared" si="34"/>
        <v>-8.8682273228345102E-3</v>
      </c>
      <c r="E1125" s="289">
        <f t="shared" si="35"/>
        <v>1.0672012152434841E-2</v>
      </c>
      <c r="F1125" s="14"/>
      <c r="G1125" s="14"/>
    </row>
    <row r="1126" spans="1:7" ht="14.25" customHeight="1" x14ac:dyDescent="0.3">
      <c r="A1126" s="41">
        <v>45583</v>
      </c>
      <c r="B1126" s="42">
        <v>3577.80004882813</v>
      </c>
      <c r="C1126" s="42">
        <v>24854.05078125</v>
      </c>
      <c r="D1126" s="289">
        <f t="shared" si="34"/>
        <v>4.2101739412400158E-3</v>
      </c>
      <c r="E1126" s="289">
        <f t="shared" si="35"/>
        <v>2.1006637810347915E-3</v>
      </c>
      <c r="F1126" s="14"/>
      <c r="G1126" s="14"/>
    </row>
    <row r="1127" spans="1:7" ht="14.25" customHeight="1" x14ac:dyDescent="0.3">
      <c r="A1127" s="41">
        <v>45586</v>
      </c>
      <c r="B1127" s="42">
        <v>3585.60009765625</v>
      </c>
      <c r="C1127" s="42">
        <v>24781.099609375</v>
      </c>
      <c r="D1127" s="289">
        <f t="shared" si="34"/>
        <v>-2.9351823779983047E-3</v>
      </c>
      <c r="E1127" s="289">
        <f t="shared" si="35"/>
        <v>2.1801243003154469E-3</v>
      </c>
      <c r="F1127" s="14"/>
      <c r="G1127" s="14"/>
    </row>
    <row r="1128" spans="1:7" ht="14.25" customHeight="1" x14ac:dyDescent="0.3">
      <c r="A1128" s="41">
        <v>45587</v>
      </c>
      <c r="B1128" s="42">
        <v>3511.89990234375</v>
      </c>
      <c r="C1128" s="42">
        <v>24472.099609375</v>
      </c>
      <c r="D1128" s="289">
        <f t="shared" si="34"/>
        <v>-1.2469180337869326E-2</v>
      </c>
      <c r="E1128" s="289">
        <f t="shared" si="35"/>
        <v>-2.0554493893692884E-2</v>
      </c>
      <c r="F1128" s="14"/>
      <c r="G1128" s="14"/>
    </row>
    <row r="1129" spans="1:7" ht="14.25" customHeight="1" x14ac:dyDescent="0.3">
      <c r="A1129" s="41">
        <v>45588</v>
      </c>
      <c r="B1129" s="42">
        <v>3455.39990234375</v>
      </c>
      <c r="C1129" s="42">
        <v>24435.5</v>
      </c>
      <c r="D1129" s="289">
        <f t="shared" si="34"/>
        <v>-1.4955647434917714E-3</v>
      </c>
      <c r="E1129" s="289">
        <f t="shared" si="35"/>
        <v>-1.6088157855038344E-2</v>
      </c>
      <c r="F1129" s="14"/>
      <c r="G1129" s="14"/>
    </row>
    <row r="1130" spans="1:7" ht="14.25" customHeight="1" x14ac:dyDescent="0.3">
      <c r="A1130" s="41">
        <v>45589</v>
      </c>
      <c r="B1130" s="42">
        <v>3442.64990234375</v>
      </c>
      <c r="C1130" s="42">
        <v>24399.400390625</v>
      </c>
      <c r="D1130" s="289">
        <f t="shared" si="34"/>
        <v>-1.4773427748562542E-3</v>
      </c>
      <c r="E1130" s="289">
        <f t="shared" si="35"/>
        <v>-3.6898768189904305E-3</v>
      </c>
      <c r="F1130" s="14"/>
      <c r="G1130" s="14"/>
    </row>
    <row r="1131" spans="1:7" ht="14.25" customHeight="1" x14ac:dyDescent="0.3">
      <c r="A1131" s="41">
        <v>45590</v>
      </c>
      <c r="B1131" s="42">
        <v>3326.39990234375</v>
      </c>
      <c r="C1131" s="42">
        <v>24180.80078125</v>
      </c>
      <c r="D1131" s="289">
        <f t="shared" si="34"/>
        <v>-8.9592205494932031E-3</v>
      </c>
      <c r="E1131" s="289">
        <f t="shared" si="35"/>
        <v>-3.376759278393577E-2</v>
      </c>
      <c r="F1131" s="14"/>
      <c r="G1131" s="14"/>
    </row>
    <row r="1132" spans="1:7" ht="14.25" customHeight="1" x14ac:dyDescent="0.3">
      <c r="A1132" s="41">
        <v>45593</v>
      </c>
      <c r="B1132" s="42">
        <v>3340.80004882813</v>
      </c>
      <c r="C1132" s="42">
        <v>24339.150390625</v>
      </c>
      <c r="D1132" s="289">
        <f t="shared" si="34"/>
        <v>6.5485676346080995E-3</v>
      </c>
      <c r="E1132" s="289">
        <f t="shared" si="35"/>
        <v>4.3290484930070478E-3</v>
      </c>
      <c r="F1132" s="14"/>
      <c r="G1132" s="14"/>
    </row>
    <row r="1133" spans="1:7" ht="14.25" customHeight="1" x14ac:dyDescent="0.3">
      <c r="A1133" s="41">
        <v>45594</v>
      </c>
      <c r="B1133" s="42">
        <v>3380.89990234375</v>
      </c>
      <c r="C1133" s="42">
        <v>24466.849609375</v>
      </c>
      <c r="D1133" s="289">
        <f t="shared" si="34"/>
        <v>5.2466588480092318E-3</v>
      </c>
      <c r="E1133" s="289">
        <f t="shared" si="35"/>
        <v>1.2003069004290165E-2</v>
      </c>
      <c r="F1133" s="14"/>
      <c r="G1133" s="14"/>
    </row>
    <row r="1134" spans="1:7" ht="14.25" customHeight="1" x14ac:dyDescent="0.3">
      <c r="A1134" s="41">
        <v>45595</v>
      </c>
      <c r="B1134" s="42">
        <v>3408.35009765625</v>
      </c>
      <c r="C1134" s="42">
        <v>24340.849609375</v>
      </c>
      <c r="D1134" s="289">
        <f t="shared" si="34"/>
        <v>-5.149825253829181E-3</v>
      </c>
      <c r="E1134" s="289">
        <f t="shared" si="35"/>
        <v>8.1191978778994995E-3</v>
      </c>
      <c r="F1134" s="14"/>
      <c r="G1134" s="14"/>
    </row>
    <row r="1135" spans="1:7" ht="14.25" customHeight="1" x14ac:dyDescent="0.3">
      <c r="A1135" s="41">
        <v>45596</v>
      </c>
      <c r="B1135" s="42">
        <v>3622.30004882813</v>
      </c>
      <c r="C1135" s="42">
        <v>24205.349609375</v>
      </c>
      <c r="D1135" s="289">
        <f t="shared" si="34"/>
        <v>-5.566773640794013E-3</v>
      </c>
      <c r="E1135" s="289">
        <f t="shared" si="35"/>
        <v>6.2772293057277939E-2</v>
      </c>
      <c r="F1135" s="14"/>
      <c r="G1135" s="14"/>
    </row>
    <row r="1136" spans="1:7" ht="14.25" customHeight="1" x14ac:dyDescent="0.3">
      <c r="A1136" s="41">
        <v>45597</v>
      </c>
      <c r="B1136" s="42">
        <v>3626.35009765625</v>
      </c>
      <c r="C1136" s="42">
        <v>24304.349609375</v>
      </c>
      <c r="D1136" s="289">
        <f t="shared" si="34"/>
        <v>4.0900049616162618E-3</v>
      </c>
      <c r="E1136" s="289">
        <f t="shared" si="35"/>
        <v>1.1180876165767248E-3</v>
      </c>
      <c r="F1136" s="14"/>
      <c r="G1136" s="14"/>
    </row>
    <row r="1137" spans="1:7" ht="14.25" customHeight="1" x14ac:dyDescent="0.3">
      <c r="A1137" s="41">
        <v>45600</v>
      </c>
      <c r="B1137" s="42">
        <v>3574.44995117188</v>
      </c>
      <c r="C1137" s="42">
        <v>23995.349609375</v>
      </c>
      <c r="D1137" s="289">
        <f t="shared" si="34"/>
        <v>-1.2713773664645128E-2</v>
      </c>
      <c r="E1137" s="289">
        <f t="shared" si="35"/>
        <v>-1.4311951435112024E-2</v>
      </c>
      <c r="F1137" s="14"/>
      <c r="G1137" s="14"/>
    </row>
    <row r="1138" spans="1:7" ht="14.25" customHeight="1" x14ac:dyDescent="0.3">
      <c r="A1138" s="41">
        <v>45601</v>
      </c>
      <c r="B1138" s="42">
        <v>3574.80004882813</v>
      </c>
      <c r="C1138" s="42">
        <v>24213.30078125</v>
      </c>
      <c r="D1138" s="289">
        <f t="shared" si="34"/>
        <v>9.0830588186073483E-3</v>
      </c>
      <c r="E1138" s="289">
        <f t="shared" si="35"/>
        <v>9.7944484055573588E-5</v>
      </c>
      <c r="F1138" s="14"/>
      <c r="G1138" s="14"/>
    </row>
    <row r="1139" spans="1:7" ht="14.25" customHeight="1" x14ac:dyDescent="0.3">
      <c r="A1139" s="41">
        <v>45602</v>
      </c>
      <c r="B1139" s="42">
        <v>3645.44995117188</v>
      </c>
      <c r="C1139" s="42">
        <v>24484.05078125</v>
      </c>
      <c r="D1139" s="289">
        <f t="shared" si="34"/>
        <v>1.1181870759630595E-2</v>
      </c>
      <c r="E1139" s="289">
        <f t="shared" si="35"/>
        <v>1.9763315815918163E-2</v>
      </c>
      <c r="F1139" s="14"/>
      <c r="G1139" s="14"/>
    </row>
    <row r="1140" spans="1:7" ht="14.25" customHeight="1" x14ac:dyDescent="0.3">
      <c r="A1140" s="41">
        <v>45603</v>
      </c>
      <c r="B1140" s="42">
        <v>3646.55004882813</v>
      </c>
      <c r="C1140" s="42">
        <v>24199.349609375</v>
      </c>
      <c r="D1140" s="289">
        <f t="shared" si="34"/>
        <v>-1.1628025706147672E-2</v>
      </c>
      <c r="E1140" s="289">
        <f t="shared" si="35"/>
        <v>3.017728047250679E-4</v>
      </c>
      <c r="F1140" s="14"/>
      <c r="G1140" s="14"/>
    </row>
    <row r="1141" spans="1:7" ht="14.25" customHeight="1" x14ac:dyDescent="0.3">
      <c r="A1141" s="41">
        <v>45604</v>
      </c>
      <c r="B1141" s="42">
        <v>3660.30004882813</v>
      </c>
      <c r="C1141" s="42">
        <v>24148.19921875</v>
      </c>
      <c r="D1141" s="289">
        <f t="shared" si="34"/>
        <v>-2.1137093124678017E-3</v>
      </c>
      <c r="E1141" s="289">
        <f t="shared" si="35"/>
        <v>3.7706873115367647E-3</v>
      </c>
      <c r="F1141" s="14"/>
      <c r="G1141" s="14"/>
    </row>
    <row r="1142" spans="1:7" ht="14.25" customHeight="1" x14ac:dyDescent="0.3">
      <c r="A1142" s="41">
        <v>45607</v>
      </c>
      <c r="B1142" s="42">
        <v>3628.85009765625</v>
      </c>
      <c r="C1142" s="42">
        <v>24141.30078125</v>
      </c>
      <c r="D1142" s="289">
        <f t="shared" si="34"/>
        <v>-2.8567088740280355E-4</v>
      </c>
      <c r="E1142" s="289">
        <f t="shared" si="35"/>
        <v>-8.5921784422970781E-3</v>
      </c>
      <c r="F1142" s="14"/>
      <c r="G1142" s="14"/>
    </row>
    <row r="1143" spans="1:7" ht="14.25" customHeight="1" x14ac:dyDescent="0.3">
      <c r="A1143" s="41">
        <v>45608</v>
      </c>
      <c r="B1143" s="42">
        <v>3591.35009765625</v>
      </c>
      <c r="C1143" s="42">
        <v>23883.44921875</v>
      </c>
      <c r="D1143" s="289">
        <f t="shared" si="34"/>
        <v>-1.0680930776533279E-2</v>
      </c>
      <c r="E1143" s="289">
        <f t="shared" si="35"/>
        <v>-1.0333852044266024E-2</v>
      </c>
      <c r="F1143" s="14"/>
      <c r="G1143" s="14"/>
    </row>
    <row r="1144" spans="1:7" ht="14.25" customHeight="1" x14ac:dyDescent="0.3">
      <c r="A1144" s="41">
        <v>45609</v>
      </c>
      <c r="B1144" s="42">
        <v>3547.94995117188</v>
      </c>
      <c r="C1144" s="42">
        <v>23559.05078125</v>
      </c>
      <c r="D1144" s="289">
        <f t="shared" si="34"/>
        <v>-1.3582562322921387E-2</v>
      </c>
      <c r="E1144" s="289">
        <f t="shared" si="35"/>
        <v>-1.2084632604516433E-2</v>
      </c>
      <c r="F1144" s="14"/>
      <c r="G1144" s="14"/>
    </row>
    <row r="1145" spans="1:7" ht="14.25" customHeight="1" x14ac:dyDescent="0.3">
      <c r="A1145" s="41">
        <v>45610</v>
      </c>
      <c r="B1145" s="42">
        <v>3526.25</v>
      </c>
      <c r="C1145" s="42">
        <v>23532.69921875</v>
      </c>
      <c r="D1145" s="289">
        <f t="shared" si="34"/>
        <v>-1.1185324376894032E-3</v>
      </c>
      <c r="E1145" s="289">
        <f t="shared" si="35"/>
        <v>-6.1161942728962552E-3</v>
      </c>
      <c r="F1145" s="14"/>
      <c r="G1145" s="14"/>
    </row>
    <row r="1146" spans="1:7" ht="14.25" customHeight="1" x14ac:dyDescent="0.3">
      <c r="A1146" s="41">
        <v>45614</v>
      </c>
      <c r="B1146" s="42">
        <v>3542.14990234375</v>
      </c>
      <c r="C1146" s="42">
        <v>23453.80078125</v>
      </c>
      <c r="D1146" s="289">
        <f t="shared" si="34"/>
        <v>-3.3527151631265739E-3</v>
      </c>
      <c r="E1146" s="289">
        <f t="shared" si="35"/>
        <v>4.5090116536689118E-3</v>
      </c>
      <c r="F1146" s="14"/>
      <c r="G1146" s="14"/>
    </row>
    <row r="1147" spans="1:7" ht="14.25" customHeight="1" x14ac:dyDescent="0.3">
      <c r="A1147" s="41">
        <v>45615</v>
      </c>
      <c r="B1147" s="42">
        <v>3505.89990234375</v>
      </c>
      <c r="C1147" s="42">
        <v>23518.5</v>
      </c>
      <c r="D1147" s="289">
        <f t="shared" si="34"/>
        <v>2.7585814066316875E-3</v>
      </c>
      <c r="E1147" s="289">
        <f t="shared" si="35"/>
        <v>-1.0233897773782611E-2</v>
      </c>
      <c r="F1147" s="14"/>
      <c r="G1147" s="14"/>
    </row>
    <row r="1148" spans="1:7" ht="14.25" customHeight="1" x14ac:dyDescent="0.3">
      <c r="A1148" s="41">
        <v>45617</v>
      </c>
      <c r="B1148" s="42">
        <v>3483.5</v>
      </c>
      <c r="C1148" s="42">
        <v>23349.900390625</v>
      </c>
      <c r="D1148" s="289">
        <f t="shared" si="34"/>
        <v>-7.1688079331164827E-3</v>
      </c>
      <c r="E1148" s="289">
        <f t="shared" si="35"/>
        <v>-6.3892019075545503E-3</v>
      </c>
      <c r="F1148" s="14"/>
      <c r="G1148" s="14"/>
    </row>
    <row r="1149" spans="1:7" ht="14.25" customHeight="1" x14ac:dyDescent="0.3">
      <c r="A1149" s="41">
        <v>45618</v>
      </c>
      <c r="B1149" s="42">
        <v>3603.5</v>
      </c>
      <c r="C1149" s="42">
        <v>23907.25</v>
      </c>
      <c r="D1149" s="289">
        <f t="shared" si="34"/>
        <v>2.3869464111237762E-2</v>
      </c>
      <c r="E1149" s="289">
        <f t="shared" si="35"/>
        <v>3.4448112530500931E-2</v>
      </c>
      <c r="F1149" s="14"/>
      <c r="G1149" s="14"/>
    </row>
    <row r="1150" spans="1:7" ht="14.25" customHeight="1" x14ac:dyDescent="0.3">
      <c r="A1150" s="41">
        <v>45621</v>
      </c>
      <c r="B1150" s="42">
        <v>3753</v>
      </c>
      <c r="C1150" s="42">
        <v>24221.900390625</v>
      </c>
      <c r="D1150" s="289">
        <f t="shared" si="34"/>
        <v>1.3161295867362411E-2</v>
      </c>
      <c r="E1150" s="289">
        <f t="shared" si="35"/>
        <v>4.1487442763979462E-2</v>
      </c>
      <c r="F1150" s="14"/>
      <c r="G1150" s="14"/>
    </row>
    <row r="1151" spans="1:7" ht="14.25" customHeight="1" x14ac:dyDescent="0.3">
      <c r="A1151" s="41">
        <v>45622</v>
      </c>
      <c r="B1151" s="42">
        <v>3702.60009765625</v>
      </c>
      <c r="C1151" s="42">
        <v>24194.5</v>
      </c>
      <c r="D1151" s="289">
        <f t="shared" si="34"/>
        <v>-1.1312238174179439E-3</v>
      </c>
      <c r="E1151" s="289">
        <f t="shared" si="35"/>
        <v>-1.3429230573874233E-2</v>
      </c>
      <c r="F1151" s="14"/>
      <c r="G1151" s="14"/>
    </row>
    <row r="1152" spans="1:7" ht="14.25" customHeight="1" x14ac:dyDescent="0.3">
      <c r="A1152" s="41">
        <v>45623</v>
      </c>
      <c r="B1152" s="42">
        <v>3698.69995117188</v>
      </c>
      <c r="C1152" s="42">
        <v>24274.900390625</v>
      </c>
      <c r="D1152" s="289">
        <f t="shared" si="34"/>
        <v>3.3230854378061129E-3</v>
      </c>
      <c r="E1152" s="289">
        <f t="shared" si="35"/>
        <v>-1.0533534223257854E-3</v>
      </c>
      <c r="F1152" s="14"/>
      <c r="G1152" s="14"/>
    </row>
    <row r="1153" spans="1:7" ht="14.25" customHeight="1" x14ac:dyDescent="0.3">
      <c r="A1153" s="41">
        <v>45624</v>
      </c>
      <c r="B1153" s="42">
        <v>3666.05004882813</v>
      </c>
      <c r="C1153" s="42">
        <v>23914.150390625</v>
      </c>
      <c r="D1153" s="289">
        <f t="shared" si="34"/>
        <v>-1.4861029054492934E-2</v>
      </c>
      <c r="E1153" s="289">
        <f t="shared" si="35"/>
        <v>-8.827399566003008E-3</v>
      </c>
      <c r="F1153" s="14"/>
      <c r="G1153" s="14"/>
    </row>
    <row r="1154" spans="1:7" ht="14.25" customHeight="1" x14ac:dyDescent="0.3">
      <c r="A1154" s="41">
        <v>45625</v>
      </c>
      <c r="B1154" s="42">
        <v>3724.80004882813</v>
      </c>
      <c r="C1154" s="42">
        <v>24131.099609375</v>
      </c>
      <c r="D1154" s="289">
        <f t="shared" si="34"/>
        <v>9.0720019405351737E-3</v>
      </c>
      <c r="E1154" s="289">
        <f t="shared" si="35"/>
        <v>1.602542224397065E-2</v>
      </c>
      <c r="F1154" s="14"/>
      <c r="G1154" s="14"/>
    </row>
    <row r="1155" spans="1:7" ht="14.25" customHeight="1" x14ac:dyDescent="0.3">
      <c r="A1155" s="41">
        <v>45628</v>
      </c>
      <c r="B1155" s="42">
        <v>3704.05004882813</v>
      </c>
      <c r="C1155" s="42">
        <v>24276.05078125</v>
      </c>
      <c r="D1155" s="289">
        <f t="shared" ref="D1155:D1218" si="36">(C1155-C1154)/C1154</f>
        <v>6.0068200049485541E-3</v>
      </c>
      <c r="E1155" s="289">
        <f t="shared" ref="E1155:E1218" si="37">(B1155-B1154)/B1154</f>
        <v>-5.5707688273168429E-3</v>
      </c>
      <c r="F1155" s="14"/>
      <c r="G1155" s="14"/>
    </row>
    <row r="1156" spans="1:7" ht="14.25" customHeight="1" x14ac:dyDescent="0.3">
      <c r="A1156" s="41">
        <v>45629</v>
      </c>
      <c r="B1156" s="42">
        <v>3787.05004882813</v>
      </c>
      <c r="C1156" s="42">
        <v>24457.150390625</v>
      </c>
      <c r="D1156" s="289">
        <f t="shared" si="36"/>
        <v>7.4600111445999777E-3</v>
      </c>
      <c r="E1156" s="289">
        <f t="shared" si="37"/>
        <v>2.2407904565506384E-2</v>
      </c>
      <c r="F1156" s="14"/>
      <c r="G1156" s="14"/>
    </row>
    <row r="1157" spans="1:7" ht="14.25" customHeight="1" x14ac:dyDescent="0.3">
      <c r="A1157" s="41">
        <v>45630</v>
      </c>
      <c r="B1157" s="42">
        <v>3789.89990234375</v>
      </c>
      <c r="C1157" s="42">
        <v>24467.44921875</v>
      </c>
      <c r="D1157" s="289">
        <f t="shared" si="36"/>
        <v>4.2109681465375389E-4</v>
      </c>
      <c r="E1157" s="289">
        <f t="shared" si="37"/>
        <v>7.5252597110562623E-4</v>
      </c>
      <c r="F1157" s="14"/>
      <c r="G1157" s="14"/>
    </row>
    <row r="1158" spans="1:7" ht="14.25" customHeight="1" x14ac:dyDescent="0.3">
      <c r="A1158" s="41">
        <v>45631</v>
      </c>
      <c r="B1158" s="42">
        <v>3831.55004882813</v>
      </c>
      <c r="C1158" s="42">
        <v>24708.400390625</v>
      </c>
      <c r="D1158" s="289">
        <f t="shared" si="36"/>
        <v>9.8478255628851284E-3</v>
      </c>
      <c r="E1158" s="289">
        <f t="shared" si="37"/>
        <v>1.0989774811367106E-2</v>
      </c>
      <c r="F1158" s="14"/>
      <c r="G1158" s="14"/>
    </row>
    <row r="1159" spans="1:7" ht="14.25" customHeight="1" x14ac:dyDescent="0.3">
      <c r="A1159" s="41">
        <v>45632</v>
      </c>
      <c r="B1159" s="42">
        <v>3866.69995117188</v>
      </c>
      <c r="C1159" s="42">
        <v>24677.80078125</v>
      </c>
      <c r="D1159" s="289">
        <f t="shared" si="36"/>
        <v>-1.2384293961259537E-3</v>
      </c>
      <c r="E1159" s="289">
        <f t="shared" si="37"/>
        <v>9.1738074397594016E-3</v>
      </c>
      <c r="F1159" s="14"/>
      <c r="G1159" s="14"/>
    </row>
    <row r="1160" spans="1:7" ht="14.25" customHeight="1" x14ac:dyDescent="0.3">
      <c r="A1160" s="41">
        <v>45635</v>
      </c>
      <c r="B1160" s="42">
        <v>3947.30004882813</v>
      </c>
      <c r="C1160" s="42">
        <v>24619</v>
      </c>
      <c r="D1160" s="289">
        <f t="shared" si="36"/>
        <v>-2.3827399277279349E-3</v>
      </c>
      <c r="E1160" s="289">
        <f t="shared" si="37"/>
        <v>2.0844673409898935E-2</v>
      </c>
      <c r="F1160" s="14"/>
      <c r="G1160" s="14"/>
    </row>
    <row r="1161" spans="1:7" ht="14.25" customHeight="1" x14ac:dyDescent="0.3">
      <c r="A1161" s="41">
        <v>45636</v>
      </c>
      <c r="B1161" s="42">
        <v>3923.14990234375</v>
      </c>
      <c r="C1161" s="42">
        <v>24610.05078125</v>
      </c>
      <c r="D1161" s="289">
        <f t="shared" si="36"/>
        <v>-3.6350862138998332E-4</v>
      </c>
      <c r="E1161" s="289">
        <f t="shared" si="37"/>
        <v>-6.1181430815095174E-3</v>
      </c>
      <c r="F1161" s="14"/>
      <c r="G1161" s="14"/>
    </row>
    <row r="1162" spans="1:7" ht="14.25" customHeight="1" x14ac:dyDescent="0.3">
      <c r="A1162" s="41">
        <v>45637</v>
      </c>
      <c r="B1162" s="42">
        <v>3916.75</v>
      </c>
      <c r="C1162" s="42">
        <v>24641.80078125</v>
      </c>
      <c r="D1162" s="289">
        <f t="shared" si="36"/>
        <v>1.2901233029632678E-3</v>
      </c>
      <c r="E1162" s="289">
        <f t="shared" si="37"/>
        <v>-1.6313173095747883E-3</v>
      </c>
      <c r="F1162" s="14"/>
      <c r="G1162" s="14"/>
    </row>
    <row r="1163" spans="1:7" ht="14.25" customHeight="1" x14ac:dyDescent="0.3">
      <c r="A1163" s="41">
        <v>45638</v>
      </c>
      <c r="B1163" s="42">
        <v>3859.89990234375</v>
      </c>
      <c r="C1163" s="42">
        <v>24548.69921875</v>
      </c>
      <c r="D1163" s="289">
        <f t="shared" si="36"/>
        <v>-3.778196379659119E-3</v>
      </c>
      <c r="E1163" s="289">
        <f t="shared" si="37"/>
        <v>-1.4514609729048318E-2</v>
      </c>
      <c r="F1163" s="14"/>
      <c r="G1163" s="14"/>
    </row>
    <row r="1164" spans="1:7" ht="14.25" customHeight="1" x14ac:dyDescent="0.3">
      <c r="A1164" s="41">
        <v>45639</v>
      </c>
      <c r="B1164" s="42">
        <v>3887</v>
      </c>
      <c r="C1164" s="42">
        <v>24768.30078125</v>
      </c>
      <c r="D1164" s="289">
        <f t="shared" si="36"/>
        <v>8.9455478085890185E-3</v>
      </c>
      <c r="E1164" s="289">
        <f t="shared" si="37"/>
        <v>7.020932755223701E-3</v>
      </c>
      <c r="F1164" s="14"/>
      <c r="G1164" s="14"/>
    </row>
    <row r="1165" spans="1:7" ht="14.25" customHeight="1" x14ac:dyDescent="0.3">
      <c r="A1165" s="41">
        <v>45642</v>
      </c>
      <c r="B1165" s="42">
        <v>3877.85009765625</v>
      </c>
      <c r="C1165" s="42">
        <v>24668.25</v>
      </c>
      <c r="D1165" s="289">
        <f t="shared" si="36"/>
        <v>-4.0394689217332193E-3</v>
      </c>
      <c r="E1165" s="289">
        <f t="shared" si="37"/>
        <v>-2.3539753907254953E-3</v>
      </c>
      <c r="F1165" s="14"/>
      <c r="G1165" s="14"/>
    </row>
    <row r="1166" spans="1:7" ht="14.25" customHeight="1" x14ac:dyDescent="0.3">
      <c r="A1166" s="41">
        <v>45643</v>
      </c>
      <c r="B1166" s="42">
        <v>3807.19995117188</v>
      </c>
      <c r="C1166" s="42">
        <v>24336</v>
      </c>
      <c r="D1166" s="289">
        <f t="shared" si="36"/>
        <v>-1.3468730047733423E-2</v>
      </c>
      <c r="E1166" s="289">
        <f t="shared" si="37"/>
        <v>-1.8218895703851611E-2</v>
      </c>
      <c r="F1166" s="14"/>
      <c r="G1166" s="14"/>
    </row>
    <row r="1167" spans="1:7" ht="14.25" customHeight="1" x14ac:dyDescent="0.3">
      <c r="A1167" s="41">
        <v>45644</v>
      </c>
      <c r="B1167" s="42">
        <v>3758.14990234375</v>
      </c>
      <c r="C1167" s="42">
        <v>24198.849609375</v>
      </c>
      <c r="D1167" s="289">
        <f t="shared" si="36"/>
        <v>-5.6356998120069036E-3</v>
      </c>
      <c r="E1167" s="289">
        <f t="shared" si="37"/>
        <v>-1.2883496915635359E-2</v>
      </c>
      <c r="F1167" s="14"/>
      <c r="G1167" s="14"/>
    </row>
    <row r="1168" spans="1:7" ht="14.25" customHeight="1" x14ac:dyDescent="0.3">
      <c r="A1168" s="41">
        <v>45645</v>
      </c>
      <c r="B1168" s="42">
        <v>3716.35009765625</v>
      </c>
      <c r="C1168" s="42">
        <v>23951.69921875</v>
      </c>
      <c r="D1168" s="289">
        <f t="shared" si="36"/>
        <v>-1.0213311567061031E-2</v>
      </c>
      <c r="E1168" s="289">
        <f t="shared" si="37"/>
        <v>-1.112244209881883E-2</v>
      </c>
      <c r="F1168" s="14"/>
      <c r="G1168" s="14"/>
    </row>
    <row r="1169" spans="1:7" ht="14.25" customHeight="1" x14ac:dyDescent="0.3">
      <c r="A1169" s="41">
        <v>45646</v>
      </c>
      <c r="B1169" s="42">
        <v>3629.85009765625</v>
      </c>
      <c r="C1169" s="42">
        <v>23587.5</v>
      </c>
      <c r="D1169" s="289">
        <f t="shared" si="36"/>
        <v>-1.5205569150805617E-2</v>
      </c>
      <c r="E1169" s="289">
        <f t="shared" si="37"/>
        <v>-2.3275525105816056E-2</v>
      </c>
      <c r="F1169" s="14"/>
      <c r="G1169" s="14"/>
    </row>
    <row r="1170" spans="1:7" ht="14.25" customHeight="1" x14ac:dyDescent="0.3">
      <c r="A1170" s="41">
        <v>45649</v>
      </c>
      <c r="B1170" s="42">
        <v>3640.5</v>
      </c>
      <c r="C1170" s="42">
        <v>23753.44921875</v>
      </c>
      <c r="D1170" s="289">
        <f t="shared" si="36"/>
        <v>7.0354729729729731E-3</v>
      </c>
      <c r="E1170" s="289">
        <f t="shared" si="37"/>
        <v>2.9339785548242094E-3</v>
      </c>
      <c r="F1170" s="14"/>
      <c r="G1170" s="14"/>
    </row>
    <row r="1171" spans="1:7" ht="14.25" customHeight="1" x14ac:dyDescent="0.3">
      <c r="A1171" s="41">
        <v>45650</v>
      </c>
      <c r="B1171" s="42">
        <v>3639.75</v>
      </c>
      <c r="C1171" s="42">
        <v>23727.650390625</v>
      </c>
      <c r="D1171" s="289">
        <f t="shared" si="36"/>
        <v>-1.0861087115144297E-3</v>
      </c>
      <c r="E1171" s="289">
        <f t="shared" si="37"/>
        <v>-2.0601565718994644E-4</v>
      </c>
      <c r="F1171" s="14"/>
      <c r="G1171" s="14"/>
    </row>
    <row r="1172" spans="1:7" ht="14.25" customHeight="1" x14ac:dyDescent="0.3">
      <c r="A1172" s="41">
        <v>45652</v>
      </c>
      <c r="B1172" s="42">
        <v>3629.5</v>
      </c>
      <c r="C1172" s="42">
        <v>23750.19921875</v>
      </c>
      <c r="D1172" s="289">
        <f t="shared" si="36"/>
        <v>9.5031862631915877E-4</v>
      </c>
      <c r="E1172" s="289">
        <f t="shared" si="37"/>
        <v>-2.8161274812830549E-3</v>
      </c>
      <c r="F1172" s="14"/>
      <c r="G1172" s="14"/>
    </row>
    <row r="1173" spans="1:7" ht="14.25" customHeight="1" x14ac:dyDescent="0.3">
      <c r="A1173" s="41">
        <v>45653</v>
      </c>
      <c r="B1173" s="42">
        <v>3608.10009765625</v>
      </c>
      <c r="C1173" s="42">
        <v>23813.400390625</v>
      </c>
      <c r="D1173" s="289">
        <f t="shared" si="36"/>
        <v>2.6610796521279179E-3</v>
      </c>
      <c r="E1173" s="289">
        <f t="shared" si="37"/>
        <v>-5.8961020371263257E-3</v>
      </c>
      <c r="F1173" s="14"/>
      <c r="G1173" s="14"/>
    </row>
    <row r="1174" spans="1:7" ht="14.25" customHeight="1" x14ac:dyDescent="0.3">
      <c r="A1174" s="41">
        <v>45656</v>
      </c>
      <c r="B1174" s="42">
        <v>3578.94995117188</v>
      </c>
      <c r="C1174" s="42">
        <v>23644.900390625</v>
      </c>
      <c r="D1174" s="289">
        <f t="shared" si="36"/>
        <v>-7.0758479358679106E-3</v>
      </c>
      <c r="E1174" s="289">
        <f t="shared" si="37"/>
        <v>-8.0790847524727354E-3</v>
      </c>
      <c r="F1174" s="14"/>
      <c r="G1174" s="14"/>
    </row>
    <row r="1175" spans="1:7" ht="14.25" customHeight="1" x14ac:dyDescent="0.3">
      <c r="A1175" s="41">
        <v>45657</v>
      </c>
      <c r="B1175" s="42">
        <v>3607.64990234375</v>
      </c>
      <c r="C1175" s="42">
        <v>23644.80078125</v>
      </c>
      <c r="D1175" s="289">
        <f t="shared" si="36"/>
        <v>-4.2127212783477941E-6</v>
      </c>
      <c r="E1175" s="289">
        <f t="shared" si="37"/>
        <v>8.0190982169148738E-3</v>
      </c>
      <c r="F1175" s="14"/>
      <c r="G1175" s="14"/>
    </row>
    <row r="1176" spans="1:7" ht="14.25" customHeight="1" x14ac:dyDescent="0.3">
      <c r="A1176" s="41">
        <v>45658</v>
      </c>
      <c r="B1176" s="42">
        <v>3667.5</v>
      </c>
      <c r="C1176" s="42">
        <v>23742.900390625</v>
      </c>
      <c r="D1176" s="289">
        <f t="shared" si="36"/>
        <v>4.1488871182535671E-3</v>
      </c>
      <c r="E1176" s="289">
        <f t="shared" si="37"/>
        <v>1.6589774306361521E-2</v>
      </c>
      <c r="F1176" s="14"/>
      <c r="G1176" s="14"/>
    </row>
    <row r="1177" spans="1:7" ht="14.25" customHeight="1" x14ac:dyDescent="0.3">
      <c r="A1177" s="41">
        <v>45659</v>
      </c>
      <c r="B1177" s="42">
        <v>3713.5</v>
      </c>
      <c r="C1177" s="42">
        <v>24188.650390625</v>
      </c>
      <c r="D1177" s="289">
        <f t="shared" si="36"/>
        <v>1.8774033191665436E-2</v>
      </c>
      <c r="E1177" s="289">
        <f t="shared" si="37"/>
        <v>1.2542603953646899E-2</v>
      </c>
      <c r="F1177" s="14"/>
      <c r="G1177" s="14"/>
    </row>
    <row r="1178" spans="1:7" ht="14.25" customHeight="1" x14ac:dyDescent="0.3">
      <c r="A1178" s="41">
        <v>45660</v>
      </c>
      <c r="B1178" s="42">
        <v>3659.89990234375</v>
      </c>
      <c r="C1178" s="42">
        <v>24004.75</v>
      </c>
      <c r="D1178" s="289">
        <f t="shared" si="36"/>
        <v>-7.602755327609176E-3</v>
      </c>
      <c r="E1178" s="289">
        <f t="shared" si="37"/>
        <v>-1.4433848837013598E-2</v>
      </c>
      <c r="F1178" s="14"/>
      <c r="G1178" s="14"/>
    </row>
    <row r="1179" spans="1:7" ht="14.25" customHeight="1" x14ac:dyDescent="0.3">
      <c r="A1179" s="41">
        <v>45663</v>
      </c>
      <c r="B1179" s="42">
        <v>3603.19995117188</v>
      </c>
      <c r="C1179" s="42">
        <v>23616.05078125</v>
      </c>
      <c r="D1179" s="289">
        <f t="shared" si="36"/>
        <v>-1.6192595996625668E-2</v>
      </c>
      <c r="E1179" s="289">
        <f t="shared" si="37"/>
        <v>-1.5492213635558754E-2</v>
      </c>
      <c r="F1179" s="14"/>
      <c r="G1179" s="14"/>
    </row>
    <row r="1180" spans="1:7" ht="14.25" customHeight="1" x14ac:dyDescent="0.3">
      <c r="A1180" s="41">
        <v>45664</v>
      </c>
      <c r="B1180" s="42">
        <v>3643.30004882813</v>
      </c>
      <c r="C1180" s="42">
        <v>23707.900390625</v>
      </c>
      <c r="D1180" s="289">
        <f t="shared" si="36"/>
        <v>3.8892874268344705E-3</v>
      </c>
      <c r="E1180" s="289">
        <f t="shared" si="37"/>
        <v>1.1129023701059976E-2</v>
      </c>
      <c r="F1180" s="14"/>
      <c r="G1180" s="14"/>
    </row>
    <row r="1181" spans="1:7" ht="14.25" customHeight="1" x14ac:dyDescent="0.3">
      <c r="A1181" s="41">
        <v>45665</v>
      </c>
      <c r="B1181" s="42">
        <v>3596.35009765625</v>
      </c>
      <c r="C1181" s="42">
        <v>23688.94921875</v>
      </c>
      <c r="D1181" s="289">
        <f t="shared" si="36"/>
        <v>-7.9936103841966573E-4</v>
      </c>
      <c r="E1181" s="289">
        <f t="shared" si="37"/>
        <v>-1.2886655104616345E-2</v>
      </c>
      <c r="F1181" s="14"/>
      <c r="G1181" s="14"/>
    </row>
    <row r="1182" spans="1:7" ht="14.25" customHeight="1" x14ac:dyDescent="0.3">
      <c r="A1182" s="41">
        <v>45666</v>
      </c>
      <c r="B1182" s="42">
        <v>3527.89990234375</v>
      </c>
      <c r="C1182" s="42">
        <v>23526.5</v>
      </c>
      <c r="D1182" s="289">
        <f t="shared" si="36"/>
        <v>-6.8575949591474531E-3</v>
      </c>
      <c r="E1182" s="289">
        <f t="shared" si="37"/>
        <v>-1.903324021682682E-2</v>
      </c>
      <c r="F1182" s="14"/>
      <c r="G1182" s="14"/>
    </row>
    <row r="1183" spans="1:7" ht="14.25" customHeight="1" x14ac:dyDescent="0.3">
      <c r="A1183" s="41">
        <v>45667</v>
      </c>
      <c r="B1183" s="42">
        <v>3536.14990234375</v>
      </c>
      <c r="C1183" s="42">
        <v>23431.5</v>
      </c>
      <c r="D1183" s="289">
        <f t="shared" si="36"/>
        <v>-4.0379997024631801E-3</v>
      </c>
      <c r="E1183" s="289">
        <f t="shared" si="37"/>
        <v>2.3385017229426313E-3</v>
      </c>
      <c r="F1183" s="14"/>
      <c r="G1183" s="14"/>
    </row>
    <row r="1184" spans="1:7" ht="14.25" customHeight="1" x14ac:dyDescent="0.3">
      <c r="A1184" s="41">
        <v>45670</v>
      </c>
      <c r="B1184" s="42">
        <v>3464.30004882813</v>
      </c>
      <c r="C1184" s="42">
        <v>23085.94921875</v>
      </c>
      <c r="D1184" s="289">
        <f t="shared" si="36"/>
        <v>-1.4747275302477434E-2</v>
      </c>
      <c r="E1184" s="289">
        <f t="shared" si="37"/>
        <v>-2.0318667335906242E-2</v>
      </c>
      <c r="F1184" s="14"/>
      <c r="G1184" s="14"/>
    </row>
    <row r="1185" spans="1:7" ht="14.25" customHeight="1" x14ac:dyDescent="0.3">
      <c r="A1185" s="41">
        <v>45671</v>
      </c>
      <c r="B1185" s="42">
        <v>3462.60009765625</v>
      </c>
      <c r="C1185" s="42">
        <v>23176.05078125</v>
      </c>
      <c r="D1185" s="289">
        <f t="shared" si="36"/>
        <v>3.9028744993868871E-3</v>
      </c>
      <c r="E1185" s="289">
        <f t="shared" si="37"/>
        <v>-4.9070552432519386E-4</v>
      </c>
      <c r="F1185" s="14"/>
      <c r="G1185" s="14"/>
    </row>
    <row r="1186" spans="1:7" ht="14.25" customHeight="1" x14ac:dyDescent="0.3">
      <c r="A1186" s="41">
        <v>45672</v>
      </c>
      <c r="B1186" s="42">
        <v>3501.39990234375</v>
      </c>
      <c r="C1186" s="42">
        <v>23213.19921875</v>
      </c>
      <c r="D1186" s="289">
        <f t="shared" si="36"/>
        <v>1.6028803979862699E-3</v>
      </c>
      <c r="E1186" s="289">
        <f t="shared" si="37"/>
        <v>1.1205395827766147E-2</v>
      </c>
      <c r="F1186" s="14"/>
      <c r="G1186" s="14"/>
    </row>
    <row r="1187" spans="1:7" ht="14.25" customHeight="1" x14ac:dyDescent="0.3">
      <c r="A1187" s="41">
        <v>45673</v>
      </c>
      <c r="B1187" s="42">
        <v>3507.89990234375</v>
      </c>
      <c r="C1187" s="42">
        <v>23311.80078125</v>
      </c>
      <c r="D1187" s="289">
        <f t="shared" si="36"/>
        <v>4.2476507253837101E-3</v>
      </c>
      <c r="E1187" s="289">
        <f t="shared" si="37"/>
        <v>1.8564003488002218E-3</v>
      </c>
      <c r="F1187" s="14"/>
      <c r="G1187" s="14"/>
    </row>
    <row r="1188" spans="1:7" ht="14.25" customHeight="1" x14ac:dyDescent="0.3">
      <c r="A1188" s="41">
        <v>45674</v>
      </c>
      <c r="B1188" s="42">
        <v>3568.64990234375</v>
      </c>
      <c r="C1188" s="42">
        <v>23203.19921875</v>
      </c>
      <c r="D1188" s="289">
        <f t="shared" si="36"/>
        <v>-4.6586517926727362E-3</v>
      </c>
      <c r="E1188" s="289">
        <f t="shared" si="37"/>
        <v>1.7318054018420199E-2</v>
      </c>
      <c r="F1188" s="14"/>
      <c r="G1188" s="14"/>
    </row>
    <row r="1189" spans="1:7" ht="14.25" customHeight="1" x14ac:dyDescent="0.3">
      <c r="A1189" s="41">
        <v>45677</v>
      </c>
      <c r="B1189" s="42">
        <v>3593</v>
      </c>
      <c r="C1189" s="42">
        <v>23344.75</v>
      </c>
      <c r="D1189" s="289">
        <f t="shared" si="36"/>
        <v>6.1004855371674738E-3</v>
      </c>
      <c r="E1189" s="289">
        <f t="shared" si="37"/>
        <v>6.8233360858003488E-3</v>
      </c>
      <c r="F1189" s="14"/>
      <c r="G1189" s="14"/>
    </row>
    <row r="1190" spans="1:7" ht="14.25" customHeight="1" x14ac:dyDescent="0.3">
      <c r="A1190" s="41">
        <v>45678</v>
      </c>
      <c r="B1190" s="42">
        <v>3541.10009765625</v>
      </c>
      <c r="C1190" s="42">
        <v>23024.650390625</v>
      </c>
      <c r="D1190" s="289">
        <f t="shared" si="36"/>
        <v>-1.371184567729361E-2</v>
      </c>
      <c r="E1190" s="289">
        <f t="shared" si="37"/>
        <v>-1.444472650814083E-2</v>
      </c>
      <c r="F1190" s="14"/>
      <c r="G1190" s="14"/>
    </row>
    <row r="1191" spans="1:7" ht="14.25" customHeight="1" x14ac:dyDescent="0.3">
      <c r="A1191" s="41">
        <v>45679</v>
      </c>
      <c r="B1191" s="42">
        <v>3518.19995117188</v>
      </c>
      <c r="C1191" s="42">
        <v>23155.349609375</v>
      </c>
      <c r="D1191" s="289">
        <f t="shared" si="36"/>
        <v>5.6764909144165375E-3</v>
      </c>
      <c r="E1191" s="289">
        <f t="shared" si="37"/>
        <v>-6.4669582482367359E-3</v>
      </c>
      <c r="F1191" s="14"/>
      <c r="G1191" s="14"/>
    </row>
    <row r="1192" spans="1:7" ht="14.25" customHeight="1" x14ac:dyDescent="0.3">
      <c r="A1192" s="41">
        <v>45680</v>
      </c>
      <c r="B1192" s="42">
        <v>3503.25</v>
      </c>
      <c r="C1192" s="42">
        <v>23205.349609375</v>
      </c>
      <c r="D1192" s="289">
        <f t="shared" si="36"/>
        <v>2.1593282262409156E-3</v>
      </c>
      <c r="E1192" s="289">
        <f t="shared" si="37"/>
        <v>-4.2493182250486674E-3</v>
      </c>
      <c r="F1192" s="14"/>
      <c r="G1192" s="14"/>
    </row>
    <row r="1193" spans="1:7" ht="14.25" customHeight="1" x14ac:dyDescent="0.3">
      <c r="A1193" s="41">
        <v>45681</v>
      </c>
      <c r="B1193" s="42">
        <v>3458.19995117188</v>
      </c>
      <c r="C1193" s="42">
        <v>23092.19921875</v>
      </c>
      <c r="D1193" s="289">
        <f t="shared" si="36"/>
        <v>-4.8760476583936943E-3</v>
      </c>
      <c r="E1193" s="289">
        <f t="shared" si="37"/>
        <v>-1.2859501556588881E-2</v>
      </c>
      <c r="F1193" s="14"/>
      <c r="G1193" s="14"/>
    </row>
    <row r="1194" spans="1:7" ht="14.25" customHeight="1" x14ac:dyDescent="0.3">
      <c r="A1194" s="41">
        <v>45684</v>
      </c>
      <c r="B1194" s="42">
        <v>3457.64990234375</v>
      </c>
      <c r="C1194" s="42">
        <v>22829.150390625</v>
      </c>
      <c r="D1194" s="289">
        <f t="shared" si="36"/>
        <v>-1.1391241935562993E-2</v>
      </c>
      <c r="E1194" s="289">
        <f t="shared" si="37"/>
        <v>-1.5905639809624288E-4</v>
      </c>
      <c r="F1194" s="14"/>
      <c r="G1194" s="14"/>
    </row>
    <row r="1195" spans="1:7" ht="14.25" customHeight="1" x14ac:dyDescent="0.3">
      <c r="A1195" s="41">
        <v>45685</v>
      </c>
      <c r="B1195" s="42">
        <v>3413.89990234375</v>
      </c>
      <c r="C1195" s="42">
        <v>22957.25</v>
      </c>
      <c r="D1195" s="289">
        <f t="shared" si="36"/>
        <v>5.6112298172780566E-3</v>
      </c>
      <c r="E1195" s="289">
        <f t="shared" si="37"/>
        <v>-1.2653102898111312E-2</v>
      </c>
      <c r="F1195" s="14"/>
      <c r="G1195" s="14"/>
    </row>
    <row r="1196" spans="1:7" ht="14.25" customHeight="1" x14ac:dyDescent="0.3">
      <c r="A1196" s="41">
        <v>45686</v>
      </c>
      <c r="B1196" s="42">
        <v>3449.69995117188</v>
      </c>
      <c r="C1196" s="42">
        <v>23163.099609375</v>
      </c>
      <c r="D1196" s="289">
        <f t="shared" si="36"/>
        <v>8.9666492883511747E-3</v>
      </c>
      <c r="E1196" s="289">
        <f t="shared" si="37"/>
        <v>1.0486554923169288E-2</v>
      </c>
      <c r="F1196" s="14"/>
      <c r="G1196" s="14"/>
    </row>
    <row r="1197" spans="1:7" ht="14.25" customHeight="1" x14ac:dyDescent="0.3">
      <c r="A1197" s="41">
        <v>45687</v>
      </c>
      <c r="B1197" s="42">
        <v>3420.94995117188</v>
      </c>
      <c r="C1197" s="42">
        <v>23249.5</v>
      </c>
      <c r="D1197" s="289">
        <f t="shared" si="36"/>
        <v>3.7300875997627893E-3</v>
      </c>
      <c r="E1197" s="289">
        <f t="shared" si="37"/>
        <v>-8.3340581519947797E-3</v>
      </c>
      <c r="F1197" s="14"/>
      <c r="G1197" s="14"/>
    </row>
    <row r="1198" spans="1:7" ht="14.25" customHeight="1" x14ac:dyDescent="0.3">
      <c r="A1198" s="41">
        <v>45688</v>
      </c>
      <c r="B1198" s="42">
        <v>3567.39990234375</v>
      </c>
      <c r="C1198" s="42">
        <v>23508.400390625</v>
      </c>
      <c r="D1198" s="289">
        <f t="shared" si="36"/>
        <v>1.1135740150325814E-2</v>
      </c>
      <c r="E1198" s="289">
        <f t="shared" si="37"/>
        <v>4.2809732168604842E-2</v>
      </c>
      <c r="F1198" s="14"/>
      <c r="G1198" s="14"/>
    </row>
    <row r="1199" spans="1:7" ht="14.25" customHeight="1" x14ac:dyDescent="0.3">
      <c r="A1199" s="41">
        <v>45689</v>
      </c>
      <c r="B1199" s="42">
        <v>3447.5</v>
      </c>
      <c r="C1199" s="42">
        <v>23482.150390625</v>
      </c>
      <c r="D1199" s="289">
        <f t="shared" si="36"/>
        <v>-1.1166221250199708E-3</v>
      </c>
      <c r="E1199" s="289">
        <f t="shared" si="37"/>
        <v>-3.3609885526143794E-2</v>
      </c>
      <c r="F1199" s="14"/>
      <c r="G1199" s="14"/>
    </row>
    <row r="1200" spans="1:7" ht="14.25" customHeight="1" x14ac:dyDescent="0.3">
      <c r="A1200" s="41">
        <v>45691</v>
      </c>
      <c r="B1200" s="42">
        <v>3289.19995117188</v>
      </c>
      <c r="C1200" s="42">
        <v>23361.05078125</v>
      </c>
      <c r="D1200" s="289">
        <f t="shared" si="36"/>
        <v>-5.1570919766934014E-3</v>
      </c>
      <c r="E1200" s="289">
        <f t="shared" si="37"/>
        <v>-4.5917345562906456E-2</v>
      </c>
      <c r="F1200" s="14"/>
      <c r="G1200" s="14"/>
    </row>
    <row r="1201" spans="1:7" ht="14.25" customHeight="1" x14ac:dyDescent="0.3">
      <c r="A1201" s="41">
        <v>45692</v>
      </c>
      <c r="B1201" s="42">
        <v>3439.14990234375</v>
      </c>
      <c r="C1201" s="42">
        <v>23739.25</v>
      </c>
      <c r="D1201" s="289">
        <f t="shared" si="36"/>
        <v>1.6189306820631095E-2</v>
      </c>
      <c r="E1201" s="289">
        <f t="shared" si="37"/>
        <v>4.5588578802710264E-2</v>
      </c>
      <c r="F1201" s="14"/>
      <c r="G1201" s="14"/>
    </row>
    <row r="1202" spans="1:7" ht="14.25" customHeight="1" x14ac:dyDescent="0.3">
      <c r="A1202" s="41">
        <v>45693</v>
      </c>
      <c r="B1202" s="42">
        <v>3383.19995117188</v>
      </c>
      <c r="C1202" s="42">
        <v>23696.30078125</v>
      </c>
      <c r="D1202" s="289">
        <f t="shared" si="36"/>
        <v>-1.8092070621439178E-3</v>
      </c>
      <c r="E1202" s="289">
        <f t="shared" si="37"/>
        <v>-1.6268540994313917E-2</v>
      </c>
      <c r="F1202" s="14"/>
      <c r="G1202" s="14"/>
    </row>
    <row r="1203" spans="1:7" ht="14.25" customHeight="1" x14ac:dyDescent="0.3">
      <c r="A1203" s="41">
        <v>45694</v>
      </c>
      <c r="B1203" s="42">
        <v>3352.75</v>
      </c>
      <c r="C1203" s="42">
        <v>23603.349609375</v>
      </c>
      <c r="D1203" s="289">
        <f t="shared" si="36"/>
        <v>-3.9226026346082174E-3</v>
      </c>
      <c r="E1203" s="289">
        <f t="shared" si="37"/>
        <v>-9.0003403911532581E-3</v>
      </c>
      <c r="F1203" s="14"/>
      <c r="G1203" s="14"/>
    </row>
    <row r="1204" spans="1:7" ht="14.25" customHeight="1" x14ac:dyDescent="0.3">
      <c r="A1204" s="41">
        <v>45695</v>
      </c>
      <c r="B1204" s="42">
        <v>3336.89990234375</v>
      </c>
      <c r="C1204" s="42">
        <v>23559.94921875</v>
      </c>
      <c r="D1204" s="289">
        <f t="shared" si="36"/>
        <v>-1.8387386257991884E-3</v>
      </c>
      <c r="E1204" s="289">
        <f t="shared" si="37"/>
        <v>-4.7274916579673407E-3</v>
      </c>
      <c r="F1204" s="14"/>
      <c r="G1204" s="14"/>
    </row>
    <row r="1205" spans="1:7" ht="14.25" customHeight="1" x14ac:dyDescent="0.3">
      <c r="A1205" s="41">
        <v>45698</v>
      </c>
      <c r="B1205" s="42">
        <v>3328.64990234375</v>
      </c>
      <c r="C1205" s="42">
        <v>23381.599609375</v>
      </c>
      <c r="D1205" s="289">
        <f t="shared" si="36"/>
        <v>-7.5700336923078711E-3</v>
      </c>
      <c r="E1205" s="289">
        <f t="shared" si="37"/>
        <v>-2.4723546529536048E-3</v>
      </c>
      <c r="F1205" s="14"/>
      <c r="G1205" s="14"/>
    </row>
    <row r="1206" spans="1:7" ht="14.25" customHeight="1" x14ac:dyDescent="0.3">
      <c r="A1206" s="41">
        <v>45699</v>
      </c>
      <c r="B1206" s="42">
        <v>3239.64990234375</v>
      </c>
      <c r="C1206" s="42">
        <v>23071.80078125</v>
      </c>
      <c r="D1206" s="289">
        <f t="shared" si="36"/>
        <v>-1.3249684936046216E-2</v>
      </c>
      <c r="E1206" s="289">
        <f t="shared" si="37"/>
        <v>-2.673756706505356E-2</v>
      </c>
      <c r="F1206" s="14"/>
      <c r="G1206" s="14"/>
    </row>
    <row r="1207" spans="1:7" ht="14.25" customHeight="1" x14ac:dyDescent="0.3">
      <c r="A1207" s="41">
        <v>45700</v>
      </c>
      <c r="B1207" s="42">
        <v>3289.64990234375</v>
      </c>
      <c r="C1207" s="42">
        <v>23045.25</v>
      </c>
      <c r="D1207" s="289">
        <f t="shared" si="36"/>
        <v>-1.1507892904301298E-3</v>
      </c>
      <c r="E1207" s="289">
        <f t="shared" si="37"/>
        <v>1.5433766458476612E-2</v>
      </c>
      <c r="F1207" s="14"/>
      <c r="G1207" s="14"/>
    </row>
    <row r="1208" spans="1:7" ht="14.25" customHeight="1" x14ac:dyDescent="0.3">
      <c r="A1208" s="41">
        <v>45701</v>
      </c>
      <c r="B1208" s="42">
        <v>3263.64990234375</v>
      </c>
      <c r="C1208" s="42">
        <v>23031.400390625</v>
      </c>
      <c r="D1208" s="289">
        <f t="shared" si="36"/>
        <v>-6.0097457719052736E-4</v>
      </c>
      <c r="E1208" s="289">
        <f t="shared" si="37"/>
        <v>-7.9035766029315127E-3</v>
      </c>
      <c r="F1208" s="14"/>
      <c r="G1208" s="14"/>
    </row>
    <row r="1209" spans="1:7" ht="14.25" customHeight="1" x14ac:dyDescent="0.3">
      <c r="A1209" s="41">
        <v>45702</v>
      </c>
      <c r="B1209" s="42">
        <v>3237.64990234375</v>
      </c>
      <c r="C1209" s="42">
        <v>22929.25</v>
      </c>
      <c r="D1209" s="289">
        <f t="shared" si="36"/>
        <v>-4.4352661537064254E-3</v>
      </c>
      <c r="E1209" s="289">
        <f t="shared" si="37"/>
        <v>-7.9665407681529868E-3</v>
      </c>
      <c r="F1209" s="14"/>
      <c r="G1209" s="14"/>
    </row>
    <row r="1210" spans="1:7" ht="14.25" customHeight="1" x14ac:dyDescent="0.3">
      <c r="A1210" s="41">
        <v>45705</v>
      </c>
      <c r="B1210" s="42">
        <v>3221.85009765625</v>
      </c>
      <c r="C1210" s="42">
        <v>22959.5</v>
      </c>
      <c r="D1210" s="289">
        <f t="shared" si="36"/>
        <v>1.3192755977626831E-3</v>
      </c>
      <c r="E1210" s="289">
        <f t="shared" si="37"/>
        <v>-4.8800225978918987E-3</v>
      </c>
      <c r="F1210" s="14"/>
      <c r="G1210" s="14"/>
    </row>
    <row r="1211" spans="1:7" ht="14.25" customHeight="1" x14ac:dyDescent="0.3">
      <c r="A1211" s="41">
        <v>45706</v>
      </c>
      <c r="B1211" s="42">
        <v>3220.14990234375</v>
      </c>
      <c r="C1211" s="42">
        <v>22945.30078125</v>
      </c>
      <c r="D1211" s="289">
        <f t="shared" si="36"/>
        <v>-6.1844634029486708E-4</v>
      </c>
      <c r="E1211" s="289">
        <f t="shared" si="37"/>
        <v>-5.2770776447259762E-4</v>
      </c>
      <c r="F1211" s="14"/>
      <c r="G1211" s="14"/>
    </row>
    <row r="1212" spans="1:7" ht="14.25" customHeight="1" x14ac:dyDescent="0.3">
      <c r="A1212" s="41">
        <v>45707</v>
      </c>
      <c r="B1212" s="42">
        <v>3275.89990234375</v>
      </c>
      <c r="C1212" s="42">
        <v>22932.900390625</v>
      </c>
      <c r="D1212" s="289">
        <f t="shared" si="36"/>
        <v>-5.4043269004052947E-4</v>
      </c>
      <c r="E1212" s="289">
        <f t="shared" si="37"/>
        <v>1.7312858621712918E-2</v>
      </c>
      <c r="F1212" s="14"/>
      <c r="G1212" s="14"/>
    </row>
    <row r="1213" spans="1:7" ht="14.25" customHeight="1" x14ac:dyDescent="0.3">
      <c r="A1213" s="41">
        <v>45708</v>
      </c>
      <c r="B1213" s="42">
        <v>3275.80004882813</v>
      </c>
      <c r="C1213" s="42">
        <v>22913.150390625</v>
      </c>
      <c r="D1213" s="289">
        <f t="shared" si="36"/>
        <v>-8.6120811862392364E-4</v>
      </c>
      <c r="E1213" s="289">
        <f t="shared" si="37"/>
        <v>-3.0481247472963798E-5</v>
      </c>
      <c r="F1213" s="14"/>
      <c r="G1213" s="14"/>
    </row>
    <row r="1214" spans="1:7" ht="14.25" customHeight="1" x14ac:dyDescent="0.3">
      <c r="A1214" s="41">
        <v>45709</v>
      </c>
      <c r="B1214" s="42">
        <v>3315.10009765625</v>
      </c>
      <c r="C1214" s="42">
        <v>22795.900390625</v>
      </c>
      <c r="D1214" s="289">
        <f t="shared" si="36"/>
        <v>-5.1171487988824647E-3</v>
      </c>
      <c r="E1214" s="289">
        <f t="shared" si="37"/>
        <v>1.1997084145040849E-2</v>
      </c>
      <c r="F1214" s="14"/>
      <c r="G1214" s="14"/>
    </row>
    <row r="1215" spans="1:7" ht="14.25" customHeight="1" x14ac:dyDescent="0.3">
      <c r="A1215" s="41">
        <v>45712</v>
      </c>
      <c r="B1215" s="42">
        <v>3257.69995117188</v>
      </c>
      <c r="C1215" s="42">
        <v>22553.349609375</v>
      </c>
      <c r="D1215" s="289">
        <f t="shared" si="36"/>
        <v>-1.0640105330068515E-2</v>
      </c>
      <c r="E1215" s="289">
        <f t="shared" si="37"/>
        <v>-1.7314755148706205E-2</v>
      </c>
      <c r="F1215" s="14"/>
      <c r="G1215" s="14"/>
    </row>
    <row r="1216" spans="1:7" ht="14.25" customHeight="1" x14ac:dyDescent="0.3">
      <c r="A1216" s="41">
        <v>45713</v>
      </c>
      <c r="B1216" s="42">
        <v>3225.89990234375</v>
      </c>
      <c r="C1216" s="42">
        <v>22547.55078125</v>
      </c>
      <c r="D1216" s="289">
        <f t="shared" si="36"/>
        <v>-2.5711604818955748E-4</v>
      </c>
      <c r="E1216" s="289">
        <f t="shared" si="37"/>
        <v>-9.7615033013370954E-3</v>
      </c>
      <c r="F1216" s="14"/>
      <c r="G1216" s="14"/>
    </row>
    <row r="1217" spans="1:7" ht="14.25" customHeight="1" x14ac:dyDescent="0.3">
      <c r="A1217" s="41">
        <v>45715</v>
      </c>
      <c r="B1217" s="42">
        <v>3209.5</v>
      </c>
      <c r="C1217" s="42">
        <v>22545.05078125</v>
      </c>
      <c r="D1217" s="289">
        <f t="shared" si="36"/>
        <v>-1.1087678764998901E-4</v>
      </c>
      <c r="E1217" s="289">
        <f t="shared" si="37"/>
        <v>-5.0838224496162427E-3</v>
      </c>
      <c r="F1217" s="14"/>
      <c r="G1217" s="14"/>
    </row>
    <row r="1218" spans="1:7" ht="14.25" customHeight="1" x14ac:dyDescent="0.3">
      <c r="A1218" s="41">
        <v>45716</v>
      </c>
      <c r="B1218" s="42">
        <v>3163.85009765625</v>
      </c>
      <c r="C1218" s="42">
        <v>22124.69921875</v>
      </c>
      <c r="D1218" s="289">
        <f t="shared" si="36"/>
        <v>-1.8644959666695139E-2</v>
      </c>
      <c r="E1218" s="289">
        <f t="shared" si="37"/>
        <v>-1.4223368856130238E-2</v>
      </c>
      <c r="F1218" s="14"/>
      <c r="G1218" s="14"/>
    </row>
    <row r="1219" spans="1:7" ht="14.25" customHeight="1" x14ac:dyDescent="0.3">
      <c r="A1219" s="41">
        <v>45719</v>
      </c>
      <c r="B1219" s="42">
        <v>3197.30004882813</v>
      </c>
      <c r="C1219" s="42">
        <v>22119.30078125</v>
      </c>
      <c r="D1219" s="289">
        <f t="shared" ref="D1219:D1282" si="38">(C1219-C1218)/C1218</f>
        <v>-2.4400049223833022E-4</v>
      </c>
      <c r="E1219" s="289">
        <f t="shared" ref="E1219:E1282" si="39">(B1219-B1218)/B1218</f>
        <v>1.0572546150862018E-2</v>
      </c>
      <c r="F1219" s="14"/>
      <c r="G1219" s="14"/>
    </row>
    <row r="1220" spans="1:7" ht="14.25" customHeight="1" x14ac:dyDescent="0.3">
      <c r="A1220" s="41">
        <v>45720</v>
      </c>
      <c r="B1220" s="42">
        <v>3213</v>
      </c>
      <c r="C1220" s="42">
        <v>22082.650390625</v>
      </c>
      <c r="D1220" s="289">
        <f t="shared" si="38"/>
        <v>-1.6569416451024373E-3</v>
      </c>
      <c r="E1220" s="289">
        <f t="shared" si="39"/>
        <v>4.9103777975496301E-3</v>
      </c>
      <c r="F1220" s="14"/>
      <c r="G1220" s="14"/>
    </row>
    <row r="1221" spans="1:7" ht="14.25" customHeight="1" x14ac:dyDescent="0.3">
      <c r="A1221" s="41">
        <v>45721</v>
      </c>
      <c r="B1221" s="42">
        <v>3239.64990234375</v>
      </c>
      <c r="C1221" s="42">
        <v>22337.30078125</v>
      </c>
      <c r="D1221" s="289">
        <f t="shared" si="38"/>
        <v>1.153169506922546E-2</v>
      </c>
      <c r="E1221" s="289">
        <f t="shared" si="39"/>
        <v>8.2943984885620915E-3</v>
      </c>
      <c r="F1221" s="14"/>
      <c r="G1221" s="14"/>
    </row>
    <row r="1222" spans="1:7" ht="14.25" customHeight="1" x14ac:dyDescent="0.3">
      <c r="A1222" s="41">
        <v>45722</v>
      </c>
      <c r="B1222" s="42">
        <v>3259.89990234375</v>
      </c>
      <c r="C1222" s="42">
        <v>22544.69921875</v>
      </c>
      <c r="D1222" s="289">
        <f t="shared" si="38"/>
        <v>9.2848477768670643E-3</v>
      </c>
      <c r="E1222" s="289">
        <f t="shared" si="39"/>
        <v>6.2506754156830277E-3</v>
      </c>
      <c r="F1222" s="14"/>
      <c r="G1222" s="14"/>
    </row>
    <row r="1223" spans="1:7" ht="14.25" customHeight="1" x14ac:dyDescent="0.3">
      <c r="A1223" s="41">
        <v>45723</v>
      </c>
      <c r="B1223" s="42">
        <v>3244.69995117188</v>
      </c>
      <c r="C1223" s="42">
        <v>22552.5</v>
      </c>
      <c r="D1223" s="289">
        <f t="shared" si="38"/>
        <v>3.4601398645018238E-4</v>
      </c>
      <c r="E1223" s="289">
        <f t="shared" si="39"/>
        <v>-4.662704876595071E-3</v>
      </c>
      <c r="F1223" s="14"/>
      <c r="G1223" s="14"/>
    </row>
    <row r="1224" spans="1:7" ht="14.25" customHeight="1" x14ac:dyDescent="0.3">
      <c r="A1224" s="41">
        <v>45726</v>
      </c>
      <c r="B1224" s="42">
        <v>3177.69995117188</v>
      </c>
      <c r="C1224" s="42">
        <v>22460.30078125</v>
      </c>
      <c r="D1224" s="289">
        <f t="shared" si="38"/>
        <v>-4.0882039130916746E-3</v>
      </c>
      <c r="E1224" s="289">
        <f t="shared" si="39"/>
        <v>-2.0649058775311962E-2</v>
      </c>
      <c r="F1224" s="14"/>
      <c r="G1224" s="14"/>
    </row>
    <row r="1225" spans="1:7" ht="14.25" customHeight="1" x14ac:dyDescent="0.3">
      <c r="A1225" s="41">
        <v>45727</v>
      </c>
      <c r="B1225" s="42">
        <v>3195.44995117188</v>
      </c>
      <c r="C1225" s="42">
        <v>22497.900390625</v>
      </c>
      <c r="D1225" s="289">
        <f t="shared" si="38"/>
        <v>1.6740474556061328E-3</v>
      </c>
      <c r="E1225" s="289">
        <f t="shared" si="39"/>
        <v>5.5858011369053617E-3</v>
      </c>
      <c r="F1225" s="14"/>
      <c r="G1225" s="14"/>
    </row>
    <row r="1226" spans="1:7" ht="14.25" customHeight="1" x14ac:dyDescent="0.3">
      <c r="A1226" s="41">
        <v>45728</v>
      </c>
      <c r="B1226" s="42">
        <v>3193.64990234375</v>
      </c>
      <c r="C1226" s="42">
        <v>22470.5</v>
      </c>
      <c r="D1226" s="289">
        <f t="shared" si="38"/>
        <v>-1.217908789231634E-3</v>
      </c>
      <c r="E1226" s="289">
        <f t="shared" si="39"/>
        <v>-5.6331623265445398E-4</v>
      </c>
      <c r="F1226" s="14"/>
      <c r="G1226" s="14"/>
    </row>
    <row r="1227" spans="1:7" ht="14.25" customHeight="1" x14ac:dyDescent="0.3">
      <c r="A1227" s="41">
        <v>45729</v>
      </c>
      <c r="B1227" s="42">
        <v>3187.30004882813</v>
      </c>
      <c r="C1227" s="42">
        <v>22397.19921875</v>
      </c>
      <c r="D1227" s="289">
        <f t="shared" si="38"/>
        <v>-3.2620894617387242E-3</v>
      </c>
      <c r="E1227" s="289">
        <f t="shared" si="39"/>
        <v>-1.9882747670494434E-3</v>
      </c>
      <c r="F1227" s="14"/>
      <c r="G1227" s="14"/>
    </row>
    <row r="1228" spans="1:7" ht="14.25" customHeight="1" x14ac:dyDescent="0.3">
      <c r="A1228" s="41">
        <v>45733</v>
      </c>
      <c r="B1228" s="42">
        <v>3173.44995117188</v>
      </c>
      <c r="C1228" s="42">
        <v>22508.75</v>
      </c>
      <c r="D1228" s="289">
        <f t="shared" si="38"/>
        <v>4.9805683362683286E-3</v>
      </c>
      <c r="E1228" s="289">
        <f t="shared" si="39"/>
        <v>-4.3454012625332361E-3</v>
      </c>
      <c r="F1228" s="14"/>
      <c r="G1228" s="14"/>
    </row>
    <row r="1229" spans="1:7" ht="14.25" customHeight="1" x14ac:dyDescent="0.3">
      <c r="A1229" s="41">
        <v>45734</v>
      </c>
      <c r="B1229" s="42">
        <v>3173.44995117188</v>
      </c>
      <c r="C1229" s="42">
        <v>22834.30078125</v>
      </c>
      <c r="D1229" s="289">
        <f t="shared" si="38"/>
        <v>1.4463298994835342E-2</v>
      </c>
      <c r="E1229" s="289">
        <f t="shared" si="39"/>
        <v>0</v>
      </c>
      <c r="F1229" s="14"/>
      <c r="G1229" s="14"/>
    </row>
    <row r="1230" spans="1:7" ht="14.25" customHeight="1" x14ac:dyDescent="0.3">
      <c r="A1230" s="41">
        <v>45735</v>
      </c>
      <c r="B1230" s="42">
        <v>3319.55004882813</v>
      </c>
      <c r="C1230" s="42">
        <v>22907.599609375</v>
      </c>
      <c r="D1230" s="289">
        <f t="shared" si="38"/>
        <v>3.2100316461272198E-3</v>
      </c>
      <c r="E1230" s="289">
        <f t="shared" si="39"/>
        <v>4.6038254865906639E-2</v>
      </c>
      <c r="F1230" s="14"/>
      <c r="G1230" s="14"/>
    </row>
    <row r="1231" spans="1:7" ht="14.25" customHeight="1" x14ac:dyDescent="0.3">
      <c r="A1231" s="41">
        <v>45736</v>
      </c>
      <c r="B1231" s="42">
        <v>3351.05004882813</v>
      </c>
      <c r="C1231" s="42">
        <v>23190.650390625</v>
      </c>
      <c r="D1231" s="289">
        <f t="shared" si="38"/>
        <v>1.2356195589090036E-2</v>
      </c>
      <c r="E1231" s="289">
        <f t="shared" si="39"/>
        <v>9.489237859546704E-3</v>
      </c>
      <c r="F1231" s="14"/>
      <c r="G1231" s="14"/>
    </row>
    <row r="1232" spans="1:7" ht="14.25" customHeight="1" x14ac:dyDescent="0.3">
      <c r="A1232" s="41">
        <v>45737</v>
      </c>
      <c r="B1232" s="42">
        <v>3415.94995117188</v>
      </c>
      <c r="C1232" s="42">
        <v>23350.400390625</v>
      </c>
      <c r="D1232" s="289">
        <f t="shared" si="38"/>
        <v>6.8885519512889631E-3</v>
      </c>
      <c r="E1232" s="289">
        <f t="shared" si="39"/>
        <v>1.936703463036777E-2</v>
      </c>
      <c r="F1232" s="14"/>
      <c r="G1232" s="14"/>
    </row>
    <row r="1233" spans="1:7" ht="14.25" customHeight="1" x14ac:dyDescent="0.3">
      <c r="A1233" s="41">
        <v>45740</v>
      </c>
      <c r="B1233" s="42">
        <v>3481.85009765625</v>
      </c>
      <c r="C1233" s="42">
        <v>23658.349609375</v>
      </c>
      <c r="D1233" s="289">
        <f t="shared" si="38"/>
        <v>1.3188177230298765E-2</v>
      </c>
      <c r="E1233" s="289">
        <f t="shared" si="39"/>
        <v>1.929189461975642E-2</v>
      </c>
      <c r="F1233" s="14"/>
      <c r="G1233" s="14"/>
    </row>
    <row r="1234" spans="1:7" ht="14.25" customHeight="1" x14ac:dyDescent="0.3">
      <c r="A1234" s="41">
        <v>45741</v>
      </c>
      <c r="B1234" s="42">
        <v>3469.60009765625</v>
      </c>
      <c r="C1234" s="42">
        <v>23668.650390625</v>
      </c>
      <c r="D1234" s="289">
        <f t="shared" si="38"/>
        <v>4.3539728764165997E-4</v>
      </c>
      <c r="E1234" s="289">
        <f t="shared" si="39"/>
        <v>-3.5182445126646566E-3</v>
      </c>
      <c r="F1234" s="14"/>
      <c r="G1234" s="14"/>
    </row>
    <row r="1235" spans="1:7" ht="14.25" customHeight="1" x14ac:dyDescent="0.3">
      <c r="A1235" s="41">
        <v>45742</v>
      </c>
      <c r="B1235" s="42">
        <v>3444.80004882813</v>
      </c>
      <c r="C1235" s="42">
        <v>23486.849609375</v>
      </c>
      <c r="D1235" s="289">
        <f t="shared" si="38"/>
        <v>-7.6810793285454976E-3</v>
      </c>
      <c r="E1235" s="289">
        <f t="shared" si="39"/>
        <v>-7.1478118890049265E-3</v>
      </c>
      <c r="F1235" s="14"/>
      <c r="G1235" s="14"/>
    </row>
    <row r="1236" spans="1:7" ht="14.25" customHeight="1" x14ac:dyDescent="0.3">
      <c r="A1236" s="41">
        <v>45743</v>
      </c>
      <c r="B1236" s="42">
        <v>3501.60009765625</v>
      </c>
      <c r="C1236" s="42">
        <v>23591.94921875</v>
      </c>
      <c r="D1236" s="289">
        <f t="shared" si="38"/>
        <v>4.4748278770026483E-3</v>
      </c>
      <c r="E1236" s="289">
        <f t="shared" si="39"/>
        <v>1.6488634470219116E-2</v>
      </c>
      <c r="F1236" s="14"/>
      <c r="G1236" s="14"/>
    </row>
    <row r="1237" spans="1:7" ht="14.25" customHeight="1" x14ac:dyDescent="0.3">
      <c r="A1237" s="41">
        <v>45744</v>
      </c>
      <c r="B1237" s="42">
        <v>3492.30004882813</v>
      </c>
      <c r="C1237" s="42">
        <v>23519.349609375</v>
      </c>
      <c r="D1237" s="289">
        <f t="shared" si="38"/>
        <v>-3.0773044101544836E-3</v>
      </c>
      <c r="E1237" s="289">
        <f t="shared" si="39"/>
        <v>-2.6559425887453178E-3</v>
      </c>
      <c r="F1237" s="14"/>
      <c r="G1237" s="14"/>
    </row>
    <row r="1238" spans="1:7" ht="14.25" customHeight="1" x14ac:dyDescent="0.3">
      <c r="A1238" s="41">
        <v>45748</v>
      </c>
      <c r="B1238" s="42">
        <v>3436.80004882813</v>
      </c>
      <c r="C1238" s="42">
        <v>23165.69921875</v>
      </c>
      <c r="D1238" s="289">
        <f t="shared" si="38"/>
        <v>-1.5036571865236959E-2</v>
      </c>
      <c r="E1238" s="289">
        <f t="shared" si="39"/>
        <v>-1.5892105267021225E-2</v>
      </c>
      <c r="F1238" s="14"/>
      <c r="G1238" s="14"/>
    </row>
    <row r="1239" spans="1:7" ht="14.25" customHeight="1" x14ac:dyDescent="0.3">
      <c r="A1239" s="41">
        <v>45749</v>
      </c>
      <c r="B1239" s="42">
        <v>3419.89990234375</v>
      </c>
      <c r="C1239" s="42">
        <v>23332.349609375</v>
      </c>
      <c r="D1239" s="289">
        <f t="shared" si="38"/>
        <v>7.1938424586863083E-3</v>
      </c>
      <c r="E1239" s="289">
        <f t="shared" si="39"/>
        <v>-4.9174075431425122E-3</v>
      </c>
      <c r="F1239" s="14"/>
      <c r="G1239" s="14"/>
    </row>
    <row r="1240" spans="1:7" ht="14.25" customHeight="1" x14ac:dyDescent="0.3">
      <c r="A1240" s="41">
        <v>45750</v>
      </c>
      <c r="B1240" s="42">
        <v>3420.14990234375</v>
      </c>
      <c r="C1240" s="42">
        <v>23250.099609375</v>
      </c>
      <c r="D1240" s="289">
        <f t="shared" si="38"/>
        <v>-3.5251486188494162E-3</v>
      </c>
      <c r="E1240" s="289">
        <f t="shared" si="39"/>
        <v>7.310155476441525E-5</v>
      </c>
      <c r="F1240" s="14"/>
      <c r="G1240" s="14"/>
    </row>
    <row r="1241" spans="1:7" ht="14.25" customHeight="1" x14ac:dyDescent="0.3">
      <c r="A1241" s="41">
        <v>45751</v>
      </c>
      <c r="B1241" s="42">
        <v>3260.14990234375</v>
      </c>
      <c r="C1241" s="42">
        <v>22904.44921875</v>
      </c>
      <c r="D1241" s="289">
        <f t="shared" si="38"/>
        <v>-1.4866619775066488E-2</v>
      </c>
      <c r="E1241" s="289">
        <f t="shared" si="39"/>
        <v>-4.6781575243341145E-2</v>
      </c>
      <c r="F1241" s="14"/>
      <c r="G1241" s="14"/>
    </row>
    <row r="1242" spans="1:7" ht="14.25" customHeight="1" x14ac:dyDescent="0.3">
      <c r="A1242" s="41">
        <v>45754</v>
      </c>
      <c r="B1242" s="42">
        <v>3068.5</v>
      </c>
      <c r="C1242" s="42">
        <v>22161.599609375</v>
      </c>
      <c r="D1242" s="289">
        <f t="shared" si="38"/>
        <v>-3.2432546283055336E-2</v>
      </c>
      <c r="E1242" s="289">
        <f t="shared" si="39"/>
        <v>-5.8785610503974441E-2</v>
      </c>
      <c r="F1242" s="14"/>
      <c r="G1242" s="14"/>
    </row>
    <row r="1243" spans="1:7" ht="14.25" customHeight="1" x14ac:dyDescent="0.3">
      <c r="A1243" s="41">
        <v>45755</v>
      </c>
      <c r="B1243" s="42">
        <v>3161.10009765625</v>
      </c>
      <c r="C1243" s="42">
        <v>22535.849609375</v>
      </c>
      <c r="D1243" s="289">
        <f t="shared" si="38"/>
        <v>1.688731890281428E-2</v>
      </c>
      <c r="E1243" s="289">
        <f t="shared" si="39"/>
        <v>3.0177643036092553E-2</v>
      </c>
      <c r="F1243" s="14"/>
      <c r="G1243" s="14"/>
    </row>
    <row r="1244" spans="1:7" ht="14.25" customHeight="1" x14ac:dyDescent="0.3">
      <c r="A1244" s="41">
        <v>45756</v>
      </c>
      <c r="B1244" s="42">
        <v>3054.14990234375</v>
      </c>
      <c r="C1244" s="42">
        <v>22399.150390625</v>
      </c>
      <c r="D1244" s="289">
        <f t="shared" si="38"/>
        <v>-6.0658560080704745E-3</v>
      </c>
      <c r="E1244" s="289">
        <f t="shared" si="39"/>
        <v>-3.3833220084298059E-2</v>
      </c>
      <c r="F1244" s="14"/>
      <c r="G1244" s="14"/>
    </row>
    <row r="1245" spans="1:7" ht="14.25" customHeight="1" x14ac:dyDescent="0.3">
      <c r="A1245" s="41">
        <v>45758</v>
      </c>
      <c r="B1245" s="42">
        <v>3115.94995117188</v>
      </c>
      <c r="C1245" s="42">
        <v>22828.55078125</v>
      </c>
      <c r="D1245" s="289">
        <f t="shared" si="38"/>
        <v>1.9170387409190411E-2</v>
      </c>
      <c r="E1245" s="289">
        <f t="shared" si="39"/>
        <v>2.0234779170696479E-2</v>
      </c>
      <c r="F1245" s="14"/>
      <c r="G1245" s="14"/>
    </row>
    <row r="1246" spans="1:7" ht="14.25" customHeight="1" x14ac:dyDescent="0.3">
      <c r="A1246" s="41">
        <v>45762</v>
      </c>
      <c r="B1246" s="42">
        <v>3257.60009765625</v>
      </c>
      <c r="C1246" s="42">
        <v>23328.55078125</v>
      </c>
      <c r="D1246" s="289">
        <f t="shared" si="38"/>
        <v>2.1902397782108445E-2</v>
      </c>
      <c r="E1246" s="289">
        <f t="shared" si="39"/>
        <v>4.5459698873243033E-2</v>
      </c>
      <c r="F1246" s="14"/>
      <c r="G1246" s="14"/>
    </row>
    <row r="1247" spans="1:7" ht="14.25" customHeight="1" x14ac:dyDescent="0.3">
      <c r="A1247" s="41">
        <v>45763</v>
      </c>
      <c r="B1247" s="42">
        <v>3227.69995117188</v>
      </c>
      <c r="C1247" s="42">
        <v>23437.19921875</v>
      </c>
      <c r="D1247" s="289">
        <f t="shared" si="38"/>
        <v>4.657316201027141E-3</v>
      </c>
      <c r="E1247" s="289">
        <f t="shared" si="39"/>
        <v>-9.1785810375811013E-3</v>
      </c>
      <c r="F1247" s="14"/>
      <c r="G1247" s="14"/>
    </row>
    <row r="1248" spans="1:7" ht="14.25" customHeight="1" x14ac:dyDescent="0.3">
      <c r="A1248" s="41">
        <v>45764</v>
      </c>
      <c r="B1248" s="42">
        <v>3247.30004882813</v>
      </c>
      <c r="C1248" s="42">
        <v>23851.650390625</v>
      </c>
      <c r="D1248" s="289">
        <f t="shared" si="38"/>
        <v>1.7683476937954037E-2</v>
      </c>
      <c r="E1248" s="289">
        <f t="shared" si="39"/>
        <v>6.0724658279137124E-3</v>
      </c>
      <c r="F1248" s="14"/>
      <c r="G1248" s="14"/>
    </row>
    <row r="1249" spans="1:7" ht="14.25" customHeight="1" x14ac:dyDescent="0.3">
      <c r="A1249" s="41">
        <v>45768</v>
      </c>
      <c r="B1249" s="42">
        <v>3280.5</v>
      </c>
      <c r="C1249" s="42">
        <v>24125.55078125</v>
      </c>
      <c r="D1249" s="289">
        <f t="shared" si="38"/>
        <v>1.1483498464016469E-2</v>
      </c>
      <c r="E1249" s="289">
        <f t="shared" si="39"/>
        <v>1.0223863108631133E-2</v>
      </c>
      <c r="F1249" s="14"/>
      <c r="G1249" s="14"/>
    </row>
    <row r="1250" spans="1:7" ht="14.25" customHeight="1" x14ac:dyDescent="0.3">
      <c r="A1250" s="41">
        <v>45769</v>
      </c>
      <c r="B1250" s="42">
        <v>3257.80004882813</v>
      </c>
      <c r="C1250" s="42">
        <v>24167.25</v>
      </c>
      <c r="D1250" s="289">
        <f t="shared" si="38"/>
        <v>1.728425565413743E-3</v>
      </c>
      <c r="E1250" s="289">
        <f t="shared" si="39"/>
        <v>-6.9196619941685709E-3</v>
      </c>
      <c r="F1250" s="14"/>
      <c r="G1250" s="14"/>
    </row>
    <row r="1251" spans="1:7" ht="14.25" customHeight="1" x14ac:dyDescent="0.3">
      <c r="A1251" s="41">
        <v>45770</v>
      </c>
      <c r="B1251" s="42">
        <v>3301</v>
      </c>
      <c r="C1251" s="42">
        <v>24328.94921875</v>
      </c>
      <c r="D1251" s="289">
        <f t="shared" si="38"/>
        <v>6.6908406521221904E-3</v>
      </c>
      <c r="E1251" s="289">
        <f t="shared" si="39"/>
        <v>1.3260467347408121E-2</v>
      </c>
      <c r="F1251" s="14"/>
      <c r="G1251" s="14"/>
    </row>
    <row r="1252" spans="1:7" ht="14.25" customHeight="1" x14ac:dyDescent="0.3">
      <c r="A1252" s="41">
        <v>45771</v>
      </c>
      <c r="B1252" s="42">
        <v>3300.60009765625</v>
      </c>
      <c r="C1252" s="42">
        <v>24246.69921875</v>
      </c>
      <c r="D1252" s="289">
        <f t="shared" si="38"/>
        <v>-3.3807460922566689E-3</v>
      </c>
      <c r="E1252" s="289">
        <f t="shared" si="39"/>
        <v>-1.2114581755528628E-4</v>
      </c>
      <c r="F1252" s="14"/>
      <c r="G1252" s="14"/>
    </row>
    <row r="1253" spans="1:7" ht="14.25" customHeight="1" x14ac:dyDescent="0.3">
      <c r="A1253" s="41">
        <v>45772</v>
      </c>
      <c r="B1253" s="42">
        <v>3272.10009765625</v>
      </c>
      <c r="C1253" s="42">
        <v>24039.349609375</v>
      </c>
      <c r="D1253" s="289">
        <f t="shared" si="38"/>
        <v>-8.5516633626838701E-3</v>
      </c>
      <c r="E1253" s="289">
        <f t="shared" si="39"/>
        <v>-8.6347934183961875E-3</v>
      </c>
      <c r="F1253" s="14"/>
      <c r="G1253" s="14"/>
    </row>
    <row r="1254" spans="1:7" ht="14.25" customHeight="1" x14ac:dyDescent="0.3">
      <c r="A1254" s="41">
        <v>45775</v>
      </c>
      <c r="B1254" s="42">
        <v>3327.30004882813</v>
      </c>
      <c r="C1254" s="42">
        <v>24328.5</v>
      </c>
      <c r="D1254" s="289">
        <f t="shared" si="38"/>
        <v>1.2028211882747256E-2</v>
      </c>
      <c r="E1254" s="289">
        <f t="shared" si="39"/>
        <v>1.6869884638131577E-2</v>
      </c>
      <c r="F1254" s="14"/>
      <c r="G1254" s="14"/>
    </row>
    <row r="1255" spans="1:7" ht="14.25" customHeight="1" x14ac:dyDescent="0.3">
      <c r="A1255" s="41">
        <v>45776</v>
      </c>
      <c r="B1255" s="42">
        <v>3322.30004882813</v>
      </c>
      <c r="C1255" s="42">
        <v>24335.94921875</v>
      </c>
      <c r="D1255" s="289">
        <f t="shared" si="38"/>
        <v>3.0619309657397702E-4</v>
      </c>
      <c r="E1255" s="289">
        <f t="shared" si="39"/>
        <v>-1.5027199010083242E-3</v>
      </c>
      <c r="F1255" s="14"/>
      <c r="G1255" s="14"/>
    </row>
    <row r="1256" spans="1:7" ht="14.25" customHeight="1" x14ac:dyDescent="0.3">
      <c r="A1256" s="41">
        <v>45777</v>
      </c>
      <c r="B1256" s="42">
        <v>3341</v>
      </c>
      <c r="C1256" s="42">
        <v>24334.19921875</v>
      </c>
      <c r="D1256" s="289">
        <f t="shared" si="38"/>
        <v>-7.1910077731904783E-5</v>
      </c>
      <c r="E1256" s="289">
        <f t="shared" si="39"/>
        <v>5.6286159880309435E-3</v>
      </c>
      <c r="F1256" s="14"/>
      <c r="G1256" s="14"/>
    </row>
    <row r="1257" spans="1:7" ht="14.25" customHeight="1" x14ac:dyDescent="0.3">
      <c r="A1257" s="41">
        <v>45779</v>
      </c>
      <c r="B1257" s="42">
        <v>3334.89990234375</v>
      </c>
      <c r="C1257" s="42">
        <v>24346.69921875</v>
      </c>
      <c r="D1257" s="289">
        <f t="shared" si="38"/>
        <v>5.1368035116473008E-4</v>
      </c>
      <c r="E1257" s="289">
        <f t="shared" si="39"/>
        <v>-1.8258298881322957E-3</v>
      </c>
      <c r="F1257" s="14"/>
      <c r="G1257" s="14"/>
    </row>
    <row r="1258" spans="1:7" ht="14.25" customHeight="1" x14ac:dyDescent="0.3">
      <c r="A1258" s="41">
        <v>45782</v>
      </c>
      <c r="B1258" s="42">
        <v>3330.19995117188</v>
      </c>
      <c r="C1258" s="42">
        <v>24461.150390625</v>
      </c>
      <c r="D1258" s="289">
        <f t="shared" si="38"/>
        <v>4.700890697612853E-3</v>
      </c>
      <c r="E1258" s="289">
        <f t="shared" si="39"/>
        <v>-1.4093230110345731E-3</v>
      </c>
      <c r="F1258" s="14"/>
      <c r="G1258" s="14"/>
    </row>
    <row r="1259" spans="1:7" ht="14.25" customHeight="1" x14ac:dyDescent="0.3">
      <c r="A1259" s="41">
        <v>45783</v>
      </c>
      <c r="B1259" s="42">
        <v>3334</v>
      </c>
      <c r="C1259" s="42">
        <v>24379.599609375</v>
      </c>
      <c r="D1259" s="289">
        <f t="shared" si="38"/>
        <v>-3.3338898599493184E-3</v>
      </c>
      <c r="E1259" s="289">
        <f t="shared" si="39"/>
        <v>1.1410872872011125E-3</v>
      </c>
      <c r="F1259" s="14"/>
      <c r="G1259" s="14"/>
    </row>
    <row r="1260" spans="1:7" ht="14.25" customHeight="1" x14ac:dyDescent="0.3">
      <c r="A1260" s="41">
        <v>45784</v>
      </c>
      <c r="B1260" s="42">
        <v>3321.39990234375</v>
      </c>
      <c r="C1260" s="42">
        <v>24414.400390625</v>
      </c>
      <c r="D1260" s="289">
        <f t="shared" si="38"/>
        <v>1.4274549954716078E-3</v>
      </c>
      <c r="E1260" s="289">
        <f t="shared" si="39"/>
        <v>-3.7792734421865626E-3</v>
      </c>
      <c r="F1260" s="14"/>
      <c r="G1260" s="14"/>
    </row>
    <row r="1261" spans="1:7" ht="14.25" customHeight="1" x14ac:dyDescent="0.3">
      <c r="A1261" s="41">
        <v>45785</v>
      </c>
      <c r="B1261" s="42">
        <v>3323.89990234375</v>
      </c>
      <c r="C1261" s="42">
        <v>24273.80078125</v>
      </c>
      <c r="D1261" s="289">
        <f t="shared" si="38"/>
        <v>-5.7588802970966885E-3</v>
      </c>
      <c r="E1261" s="289">
        <f t="shared" si="39"/>
        <v>7.526946689665017E-4</v>
      </c>
      <c r="F1261" s="14"/>
      <c r="G1261" s="14"/>
    </row>
    <row r="1262" spans="1:7" ht="14.25" customHeight="1" x14ac:dyDescent="0.3">
      <c r="A1262" s="41">
        <v>45786</v>
      </c>
      <c r="B1262" s="42">
        <v>3443.89990234375</v>
      </c>
      <c r="C1262" s="42">
        <v>24008</v>
      </c>
      <c r="D1262" s="289">
        <f t="shared" si="38"/>
        <v>-1.0950109694206379E-2</v>
      </c>
      <c r="E1262" s="289">
        <f t="shared" si="39"/>
        <v>3.6102170199344912E-2</v>
      </c>
      <c r="F1262" s="14"/>
      <c r="G1262" s="14"/>
    </row>
    <row r="1263" spans="1:7" ht="14.25" customHeight="1" x14ac:dyDescent="0.3">
      <c r="A1263" s="41">
        <v>45789</v>
      </c>
      <c r="B1263" s="42">
        <v>3587.19995117188</v>
      </c>
      <c r="C1263" s="42">
        <v>24924.69921875</v>
      </c>
      <c r="D1263" s="289">
        <f t="shared" si="38"/>
        <v>3.8183073090219927E-2</v>
      </c>
      <c r="E1263" s="289">
        <f t="shared" si="39"/>
        <v>4.160981819785383E-2</v>
      </c>
      <c r="F1263" s="14"/>
      <c r="G1263" s="14"/>
    </row>
    <row r="1264" spans="1:7" ht="14.25" customHeight="1" x14ac:dyDescent="0.3">
      <c r="A1264" s="41">
        <v>45790</v>
      </c>
      <c r="B1264" s="42">
        <v>3567</v>
      </c>
      <c r="C1264" s="42">
        <v>24578.349609375</v>
      </c>
      <c r="D1264" s="289">
        <f t="shared" si="38"/>
        <v>-1.389583907654352E-2</v>
      </c>
      <c r="E1264" s="289">
        <f t="shared" si="39"/>
        <v>-5.6311193819237777E-3</v>
      </c>
      <c r="F1264" s="14"/>
      <c r="G1264" s="14"/>
    </row>
    <row r="1265" spans="1:7" ht="14.25" customHeight="1" x14ac:dyDescent="0.3">
      <c r="A1265" s="41">
        <v>45791</v>
      </c>
      <c r="B1265" s="42">
        <v>3573.10009765625</v>
      </c>
      <c r="C1265" s="42">
        <v>24666.900390625</v>
      </c>
      <c r="D1265" s="289">
        <f t="shared" si="38"/>
        <v>3.6027960647212775E-3</v>
      </c>
      <c r="E1265" s="289">
        <f t="shared" si="39"/>
        <v>1.7101479271797028E-3</v>
      </c>
      <c r="F1265" s="14"/>
      <c r="G1265" s="14"/>
    </row>
    <row r="1266" spans="1:7" ht="14.25" customHeight="1" x14ac:dyDescent="0.3">
      <c r="A1266" s="41">
        <v>45792</v>
      </c>
      <c r="B1266" s="42">
        <v>3618.19995117188</v>
      </c>
      <c r="C1266" s="42">
        <v>25062.099609375</v>
      </c>
      <c r="D1266" s="289">
        <f t="shared" si="38"/>
        <v>1.6021438141461865E-2</v>
      </c>
      <c r="E1266" s="289">
        <f t="shared" si="39"/>
        <v>1.2622051519131226E-2</v>
      </c>
      <c r="F1266" s="14"/>
      <c r="G1266" s="14"/>
    </row>
    <row r="1267" spans="1:7" ht="14.25" customHeight="1" x14ac:dyDescent="0.3">
      <c r="A1267" s="41">
        <v>45793</v>
      </c>
      <c r="B1267" s="42">
        <v>3604.69995117188</v>
      </c>
      <c r="C1267" s="42">
        <v>25019.80078125</v>
      </c>
      <c r="D1267" s="289">
        <f t="shared" si="38"/>
        <v>-1.6877607536591724E-3</v>
      </c>
      <c r="E1267" s="289">
        <f t="shared" si="39"/>
        <v>-3.7311370798143854E-3</v>
      </c>
      <c r="F1267" s="14"/>
      <c r="G1267" s="14"/>
    </row>
    <row r="1268" spans="1:7" ht="14.25" customHeight="1" x14ac:dyDescent="0.3">
      <c r="A1268" s="41">
        <v>45796</v>
      </c>
      <c r="B1268" s="42">
        <v>3600.19995117188</v>
      </c>
      <c r="C1268" s="42">
        <v>24945.44921875</v>
      </c>
      <c r="D1268" s="289">
        <f t="shared" si="38"/>
        <v>-2.9717088137536066E-3</v>
      </c>
      <c r="E1268" s="289">
        <f t="shared" si="39"/>
        <v>-1.2483702002817349E-3</v>
      </c>
      <c r="F1268" s="14"/>
      <c r="G1268" s="14"/>
    </row>
    <row r="1269" spans="1:7" ht="14.25" customHeight="1" x14ac:dyDescent="0.3">
      <c r="A1269" s="41">
        <v>45797</v>
      </c>
      <c r="B1269" s="42">
        <v>3567.80004882813</v>
      </c>
      <c r="C1269" s="42">
        <v>24683.900390625</v>
      </c>
      <c r="D1269" s="289">
        <f t="shared" si="38"/>
        <v>-1.0484831354666864E-2</v>
      </c>
      <c r="E1269" s="289">
        <f t="shared" si="39"/>
        <v>-8.9994730246034521E-3</v>
      </c>
      <c r="F1269" s="14"/>
      <c r="G1269" s="14"/>
    </row>
    <row r="1270" spans="1:7" ht="14.25" customHeight="1" x14ac:dyDescent="0.3">
      <c r="A1270" s="41">
        <v>45798</v>
      </c>
      <c r="B1270" s="42">
        <v>3589</v>
      </c>
      <c r="C1270" s="42">
        <v>24813.44921875</v>
      </c>
      <c r="D1270" s="289">
        <f t="shared" si="38"/>
        <v>5.2483127088862724E-3</v>
      </c>
      <c r="E1270" s="289">
        <f t="shared" si="39"/>
        <v>5.9420233426010736E-3</v>
      </c>
      <c r="F1270" s="14"/>
      <c r="G1270" s="14"/>
    </row>
    <row r="1271" spans="1:7" ht="14.25" customHeight="1" x14ac:dyDescent="0.3">
      <c r="A1271" s="41">
        <v>45799</v>
      </c>
      <c r="B1271" s="42">
        <v>3551.39990234375</v>
      </c>
      <c r="C1271" s="42">
        <v>24609.69921875</v>
      </c>
      <c r="D1271" s="289">
        <f t="shared" si="38"/>
        <v>-8.2112727740421762E-3</v>
      </c>
      <c r="E1271" s="289">
        <f t="shared" si="39"/>
        <v>-1.0476483047157982E-2</v>
      </c>
      <c r="F1271" s="14"/>
      <c r="G1271" s="14"/>
    </row>
    <row r="1272" spans="1:7" ht="14.25" customHeight="1" x14ac:dyDescent="0.3">
      <c r="A1272" s="41">
        <v>45800</v>
      </c>
      <c r="B1272" s="42">
        <v>3599.89990234375</v>
      </c>
      <c r="C1272" s="42">
        <v>24853.150390625</v>
      </c>
      <c r="D1272" s="289">
        <f t="shared" si="38"/>
        <v>9.8924887180057795E-3</v>
      </c>
      <c r="E1272" s="289">
        <f t="shared" si="39"/>
        <v>1.3656586510573583E-2</v>
      </c>
      <c r="F1272" s="14"/>
      <c r="G1272" s="14"/>
    </row>
    <row r="1273" spans="1:7" ht="14.25" customHeight="1" x14ac:dyDescent="0.3">
      <c r="A1273" s="41">
        <v>45803</v>
      </c>
      <c r="B1273" s="42">
        <v>3648.69995117188</v>
      </c>
      <c r="C1273" s="42">
        <v>25001.150390625</v>
      </c>
      <c r="D1273" s="289">
        <f t="shared" si="38"/>
        <v>5.9549794562796321E-3</v>
      </c>
      <c r="E1273" s="289">
        <f t="shared" si="39"/>
        <v>1.3555946040710257E-2</v>
      </c>
      <c r="F1273" s="14"/>
      <c r="G1273" s="14"/>
    </row>
    <row r="1274" spans="1:7" ht="14.25" customHeight="1" x14ac:dyDescent="0.3">
      <c r="A1274" s="41">
        <v>45804</v>
      </c>
      <c r="B1274" s="42">
        <v>3640</v>
      </c>
      <c r="C1274" s="42">
        <v>24826.19921875</v>
      </c>
      <c r="D1274" s="289">
        <f t="shared" si="38"/>
        <v>-6.9977248703165145E-3</v>
      </c>
      <c r="E1274" s="289">
        <f t="shared" si="39"/>
        <v>-2.3843975356443803E-3</v>
      </c>
      <c r="F1274" s="14"/>
      <c r="G1274" s="14"/>
    </row>
    <row r="1275" spans="1:7" ht="14.25" customHeight="1" x14ac:dyDescent="0.3">
      <c r="A1275" s="41">
        <v>45805</v>
      </c>
      <c r="B1275" s="42">
        <v>3646.30004882813</v>
      </c>
      <c r="C1275" s="42">
        <v>24752.44921875</v>
      </c>
      <c r="D1275" s="289">
        <f t="shared" si="38"/>
        <v>-2.9706520659956788E-3</v>
      </c>
      <c r="E1275" s="289">
        <f t="shared" si="39"/>
        <v>1.7307826450906599E-3</v>
      </c>
      <c r="F1275" s="14"/>
      <c r="G1275" s="14"/>
    </row>
    <row r="1276" spans="1:7" ht="14.25" customHeight="1" x14ac:dyDescent="0.3">
      <c r="A1276" s="41">
        <v>45806</v>
      </c>
      <c r="B1276" s="42">
        <v>3655.30004882813</v>
      </c>
      <c r="C1276" s="42">
        <v>24833.599609375</v>
      </c>
      <c r="D1276" s="289">
        <f t="shared" si="38"/>
        <v>3.2784792287758142E-3</v>
      </c>
      <c r="E1276" s="289">
        <f t="shared" si="39"/>
        <v>2.4682554588157041E-3</v>
      </c>
      <c r="F1276" s="14"/>
      <c r="G1276" s="14"/>
    </row>
    <row r="1277" spans="1:7" ht="14.25" customHeight="1" x14ac:dyDescent="0.3">
      <c r="A1277" s="41">
        <v>45807</v>
      </c>
      <c r="B1277" s="42">
        <v>3675.10009765625</v>
      </c>
      <c r="C1277" s="42">
        <v>24750.69921875</v>
      </c>
      <c r="D1277" s="289">
        <f t="shared" si="38"/>
        <v>-3.3382349691143463E-3</v>
      </c>
      <c r="E1277" s="289">
        <f t="shared" si="39"/>
        <v>5.4168053411833561E-3</v>
      </c>
      <c r="F1277" s="14"/>
      <c r="G1277" s="14"/>
    </row>
    <row r="1278" spans="1:7" ht="14.25" customHeight="1" x14ac:dyDescent="0.3">
      <c r="A1278" s="41">
        <v>45810</v>
      </c>
      <c r="B1278" s="42">
        <v>3679.60009765625</v>
      </c>
      <c r="C1278" s="42">
        <v>24716.599609375</v>
      </c>
      <c r="D1278" s="289">
        <f t="shared" si="38"/>
        <v>-1.3777230725331466E-3</v>
      </c>
      <c r="E1278" s="289">
        <f t="shared" si="39"/>
        <v>1.2244564448380113E-3</v>
      </c>
      <c r="F1278" s="14"/>
      <c r="G1278" s="14"/>
    </row>
    <row r="1279" spans="1:7" ht="14.25" customHeight="1" x14ac:dyDescent="0.3">
      <c r="A1279" s="41">
        <v>45811</v>
      </c>
      <c r="B1279" s="42">
        <v>3644.80004882813</v>
      </c>
      <c r="C1279" s="42">
        <v>24542.5</v>
      </c>
      <c r="D1279" s="289">
        <f t="shared" si="38"/>
        <v>-7.0438333802585072E-3</v>
      </c>
      <c r="E1279" s="289">
        <f t="shared" si="39"/>
        <v>-9.4575627526171015E-3</v>
      </c>
      <c r="F1279" s="14"/>
      <c r="G1279" s="14"/>
    </row>
    <row r="1280" spans="1:7" ht="14.25" customHeight="1" x14ac:dyDescent="0.3">
      <c r="A1280" s="41">
        <v>45812</v>
      </c>
      <c r="B1280" s="42">
        <v>3626.5</v>
      </c>
      <c r="C1280" s="42">
        <v>24620.19921875</v>
      </c>
      <c r="D1280" s="289">
        <f t="shared" si="38"/>
        <v>3.1659048079861465E-3</v>
      </c>
      <c r="E1280" s="289">
        <f t="shared" si="39"/>
        <v>-5.0208649536244944E-3</v>
      </c>
      <c r="F1280" s="14"/>
      <c r="G1280" s="14"/>
    </row>
    <row r="1281" spans="1:7" ht="14.25" customHeight="1" x14ac:dyDescent="0.3">
      <c r="A1281" s="41">
        <v>45813</v>
      </c>
      <c r="B1281" s="42">
        <v>3642.60009765625</v>
      </c>
      <c r="C1281" s="42">
        <v>24750.900390625</v>
      </c>
      <c r="D1281" s="289">
        <f t="shared" si="38"/>
        <v>5.3086967621066988E-3</v>
      </c>
      <c r="E1281" s="289">
        <f t="shared" si="39"/>
        <v>4.4395691868881846E-3</v>
      </c>
      <c r="F1281" s="14"/>
      <c r="G1281" s="14"/>
    </row>
    <row r="1282" spans="1:7" ht="14.25" customHeight="1" x14ac:dyDescent="0.3">
      <c r="A1282" s="41">
        <v>45814</v>
      </c>
      <c r="B1282" s="42">
        <v>3656.30004882813</v>
      </c>
      <c r="C1282" s="42">
        <v>25003.05078125</v>
      </c>
      <c r="D1282" s="289">
        <f t="shared" si="38"/>
        <v>1.0187523954502602E-2</v>
      </c>
      <c r="E1282" s="289">
        <f t="shared" si="39"/>
        <v>3.7610362940183667E-3</v>
      </c>
      <c r="F1282" s="14"/>
      <c r="G1282" s="14"/>
    </row>
    <row r="1283" spans="1:7" ht="14.25" customHeight="1" x14ac:dyDescent="0.3">
      <c r="A1283" s="41">
        <v>45817</v>
      </c>
      <c r="B1283" s="42">
        <v>3678.89990234375</v>
      </c>
      <c r="C1283" s="42">
        <v>25103.19921875</v>
      </c>
      <c r="D1283" s="289">
        <f t="shared" ref="D1283:D1346" si="40">(C1283-C1282)/C1282</f>
        <v>4.0054487100870968E-3</v>
      </c>
      <c r="E1283" s="289">
        <f t="shared" ref="E1283:E1346" si="41">(B1283-B1282)/B1282</f>
        <v>6.1810719070672033E-3</v>
      </c>
      <c r="F1283" s="14"/>
      <c r="G1283" s="14"/>
    </row>
    <row r="1284" spans="1:7" ht="14.25" customHeight="1" x14ac:dyDescent="0.3">
      <c r="A1284" s="41">
        <v>45818</v>
      </c>
      <c r="B1284" s="42">
        <v>3679.80004882813</v>
      </c>
      <c r="C1284" s="42">
        <v>25104.25</v>
      </c>
      <c r="D1284" s="289">
        <f t="shared" si="40"/>
        <v>4.185845958690213E-5</v>
      </c>
      <c r="E1284" s="289">
        <f t="shared" si="41"/>
        <v>2.4467816691792503E-4</v>
      </c>
      <c r="F1284" s="14"/>
      <c r="G1284" s="14"/>
    </row>
    <row r="1285" spans="1:7" ht="14.25" customHeight="1" x14ac:dyDescent="0.3">
      <c r="A1285" s="41">
        <v>45819</v>
      </c>
      <c r="B1285" s="42">
        <v>3684.80004882813</v>
      </c>
      <c r="C1285" s="42">
        <v>25141.400390625</v>
      </c>
      <c r="D1285" s="289">
        <f t="shared" si="40"/>
        <v>1.4798446727147794E-3</v>
      </c>
      <c r="E1285" s="289">
        <f t="shared" si="41"/>
        <v>1.35876948031247E-3</v>
      </c>
      <c r="F1285" s="14"/>
      <c r="G1285" s="14"/>
    </row>
    <row r="1286" spans="1:7" ht="14.25" customHeight="1" x14ac:dyDescent="0.3">
      <c r="A1286" s="41">
        <v>45820</v>
      </c>
      <c r="B1286" s="42">
        <v>3603.89990234375</v>
      </c>
      <c r="C1286" s="42">
        <v>24888.19921875</v>
      </c>
      <c r="D1286" s="289">
        <f t="shared" si="40"/>
        <v>-1.0071084662786582E-2</v>
      </c>
      <c r="E1286" s="289">
        <f t="shared" si="41"/>
        <v>-2.1955098081945727E-2</v>
      </c>
      <c r="F1286" s="14"/>
      <c r="G1286" s="14"/>
    </row>
    <row r="1287" spans="1:7" ht="14.25" customHeight="1" x14ac:dyDescent="0.3">
      <c r="A1287" s="41">
        <v>45821</v>
      </c>
      <c r="B1287" s="42">
        <v>3587.39990234375</v>
      </c>
      <c r="C1287" s="42">
        <v>24718.599609375</v>
      </c>
      <c r="D1287" s="289">
        <f t="shared" si="40"/>
        <v>-6.814458847919736E-3</v>
      </c>
      <c r="E1287" s="289">
        <f t="shared" si="41"/>
        <v>-4.578373552847413E-3</v>
      </c>
      <c r="F1287" s="14"/>
      <c r="G1287" s="14"/>
    </row>
    <row r="1288" spans="1:7" ht="14.25" customHeight="1" x14ac:dyDescent="0.3">
      <c r="A1288" s="41">
        <v>45824</v>
      </c>
      <c r="B1288" s="42">
        <v>3628.69995117188</v>
      </c>
      <c r="C1288" s="42">
        <v>24946.5</v>
      </c>
      <c r="D1288" s="289">
        <f t="shared" si="40"/>
        <v>9.2197937677086055E-3</v>
      </c>
      <c r="E1288" s="289">
        <f t="shared" si="41"/>
        <v>1.1512529952723562E-2</v>
      </c>
      <c r="F1288" s="14"/>
      <c r="G1288" s="14"/>
    </row>
    <row r="1289" spans="1:7" ht="14.25" customHeight="1" x14ac:dyDescent="0.3">
      <c r="A1289" s="41">
        <v>45825</v>
      </c>
      <c r="B1289" s="42">
        <v>3622.30004882813</v>
      </c>
      <c r="C1289" s="42">
        <v>24853.400390625</v>
      </c>
      <c r="D1289" s="289">
        <f t="shared" si="40"/>
        <v>-3.7319707924959415E-3</v>
      </c>
      <c r="E1289" s="289">
        <f t="shared" si="41"/>
        <v>-1.7636901451946079E-3</v>
      </c>
      <c r="F1289" s="14"/>
      <c r="G1289" s="14"/>
    </row>
    <row r="1290" spans="1:7" ht="14.25" customHeight="1" x14ac:dyDescent="0.3">
      <c r="A1290" s="41">
        <v>45826</v>
      </c>
      <c r="B1290" s="42">
        <v>3601.5</v>
      </c>
      <c r="C1290" s="42">
        <v>24812.05078125</v>
      </c>
      <c r="D1290" s="289">
        <f t="shared" si="40"/>
        <v>-1.6637405234334682E-3</v>
      </c>
      <c r="E1290" s="289">
        <f t="shared" si="41"/>
        <v>-5.742221391863752E-3</v>
      </c>
      <c r="F1290" s="14"/>
      <c r="G1290" s="14"/>
    </row>
    <row r="1291" spans="1:7" ht="14.25" customHeight="1" x14ac:dyDescent="0.3">
      <c r="A1291" s="41">
        <v>45827</v>
      </c>
      <c r="B1291" s="42">
        <v>3621.10009765625</v>
      </c>
      <c r="C1291" s="42">
        <v>24793.25</v>
      </c>
      <c r="D1291" s="289">
        <f t="shared" si="40"/>
        <v>-7.5772782410260889E-4</v>
      </c>
      <c r="E1291" s="289">
        <f t="shared" si="41"/>
        <v>5.4422039861863111E-3</v>
      </c>
      <c r="F1291" s="14"/>
      <c r="G1291" s="14"/>
    </row>
    <row r="1292" spans="1:7" ht="14.25" customHeight="1" x14ac:dyDescent="0.3">
      <c r="A1292" s="41">
        <v>45828</v>
      </c>
      <c r="B1292" s="42">
        <v>3662</v>
      </c>
      <c r="C1292" s="42">
        <v>25112.400390625</v>
      </c>
      <c r="D1292" s="289">
        <f t="shared" si="40"/>
        <v>1.2872470959837859E-2</v>
      </c>
      <c r="E1292" s="289">
        <f t="shared" si="41"/>
        <v>1.1294883113068976E-2</v>
      </c>
      <c r="F1292" s="14"/>
      <c r="G1292" s="14"/>
    </row>
    <row r="1293" spans="1:7" ht="14.25" customHeight="1" x14ac:dyDescent="0.3">
      <c r="A1293" s="41">
        <v>45831</v>
      </c>
      <c r="B1293" s="42">
        <v>3583.69995117188</v>
      </c>
      <c r="C1293" s="42">
        <v>24971.900390625</v>
      </c>
      <c r="D1293" s="289">
        <f t="shared" si="40"/>
        <v>-5.5948454872697742E-3</v>
      </c>
      <c r="E1293" s="289">
        <f t="shared" si="41"/>
        <v>-2.1381771935587109E-2</v>
      </c>
      <c r="F1293" s="14"/>
      <c r="G1293" s="14"/>
    </row>
    <row r="1294" spans="1:7" ht="14.25" customHeight="1" x14ac:dyDescent="0.3">
      <c r="A1294" s="41">
        <v>45832</v>
      </c>
      <c r="B1294" s="42">
        <v>3604.80004882813</v>
      </c>
      <c r="C1294" s="42">
        <v>25044.349609375</v>
      </c>
      <c r="D1294" s="289">
        <f t="shared" si="40"/>
        <v>2.9012296868362901E-3</v>
      </c>
      <c r="E1294" s="289">
        <f t="shared" si="41"/>
        <v>5.8877969539135686E-3</v>
      </c>
      <c r="F1294" s="14"/>
      <c r="G1294" s="14"/>
    </row>
    <row r="1295" spans="1:7" ht="14.25" customHeight="1" x14ac:dyDescent="0.3">
      <c r="A1295" s="41">
        <v>45833</v>
      </c>
      <c r="B1295" s="42">
        <v>3619.80004882813</v>
      </c>
      <c r="C1295" s="42">
        <v>25244.75</v>
      </c>
      <c r="D1295" s="289">
        <f t="shared" si="40"/>
        <v>8.0018205204252114E-3</v>
      </c>
      <c r="E1295" s="289">
        <f t="shared" si="41"/>
        <v>4.1611184522914908E-3</v>
      </c>
      <c r="F1295" s="14"/>
      <c r="G1295" s="14"/>
    </row>
    <row r="1296" spans="1:7" ht="14.25" customHeight="1" x14ac:dyDescent="0.3">
      <c r="A1296" s="41">
        <v>45834</v>
      </c>
      <c r="B1296" s="42">
        <v>3659.60009765625</v>
      </c>
      <c r="C1296" s="42">
        <v>25549</v>
      </c>
      <c r="D1296" s="289">
        <f t="shared" si="40"/>
        <v>1.205201081412967E-2</v>
      </c>
      <c r="E1296" s="289">
        <f t="shared" si="41"/>
        <v>1.0995095942110069E-2</v>
      </c>
      <c r="F1296" s="14"/>
      <c r="G1296" s="14"/>
    </row>
    <row r="1297" spans="1:7" ht="14.25" customHeight="1" x14ac:dyDescent="0.3">
      <c r="A1297" s="41">
        <v>45835</v>
      </c>
      <c r="B1297" s="42">
        <v>3679.19995117188</v>
      </c>
      <c r="C1297" s="42">
        <v>25637.80078125</v>
      </c>
      <c r="D1297" s="289">
        <f t="shared" si="40"/>
        <v>3.4757047731809464E-3</v>
      </c>
      <c r="E1297" s="289">
        <f t="shared" si="41"/>
        <v>5.3557364172611395E-3</v>
      </c>
      <c r="F1297" s="14"/>
      <c r="G1297" s="14"/>
    </row>
    <row r="1298" spans="1:7" ht="14.25" customHeight="1" x14ac:dyDescent="0.3">
      <c r="A1298" s="41">
        <v>45838</v>
      </c>
      <c r="B1298" s="42">
        <v>3669.80004882813</v>
      </c>
      <c r="C1298" s="42">
        <v>25517.05078125</v>
      </c>
      <c r="D1298" s="289">
        <f t="shared" si="40"/>
        <v>-4.7098423546652075E-3</v>
      </c>
      <c r="E1298" s="289">
        <f t="shared" si="41"/>
        <v>-2.5548767309468983E-3</v>
      </c>
      <c r="F1298" s="14"/>
      <c r="G1298" s="14"/>
    </row>
    <row r="1299" spans="1:7" ht="14.25" customHeight="1" x14ac:dyDescent="0.3">
      <c r="A1299" s="41">
        <v>45839</v>
      </c>
      <c r="B1299" s="42">
        <v>3666.69995117188</v>
      </c>
      <c r="C1299" s="42">
        <v>25541.80078125</v>
      </c>
      <c r="D1299" s="289">
        <f t="shared" si="40"/>
        <v>9.6993967728380148E-4</v>
      </c>
      <c r="E1299" s="289">
        <f t="shared" si="41"/>
        <v>-8.4475928252274895E-4</v>
      </c>
      <c r="F1299" s="14"/>
      <c r="G1299" s="14"/>
    </row>
    <row r="1300" spans="1:7" ht="14.25" customHeight="1" x14ac:dyDescent="0.3">
      <c r="A1300" s="41">
        <v>45840</v>
      </c>
      <c r="B1300" s="42">
        <v>3596.80004882813</v>
      </c>
      <c r="C1300" s="42">
        <v>25453.400390625</v>
      </c>
      <c r="D1300" s="289">
        <f t="shared" si="40"/>
        <v>-3.4610085397695964E-3</v>
      </c>
      <c r="E1300" s="289">
        <f t="shared" si="41"/>
        <v>-1.9063436680007029E-2</v>
      </c>
      <c r="F1300" s="14"/>
      <c r="G1300" s="14"/>
    </row>
    <row r="1301" spans="1:7" ht="14.25" customHeight="1" x14ac:dyDescent="0.3">
      <c r="A1301" s="41">
        <v>45841</v>
      </c>
      <c r="B1301" s="42">
        <v>3582.89990234375</v>
      </c>
      <c r="C1301" s="42">
        <v>25405.30078125</v>
      </c>
      <c r="D1301" s="289">
        <f t="shared" si="40"/>
        <v>-1.8897125192245848E-3</v>
      </c>
      <c r="E1301" s="289">
        <f t="shared" si="41"/>
        <v>-3.8645869371884589E-3</v>
      </c>
      <c r="F1301" s="14"/>
      <c r="G1301" s="14"/>
    </row>
    <row r="1302" spans="1:7" ht="14.25" customHeight="1" x14ac:dyDescent="0.3">
      <c r="A1302" s="41">
        <v>45842</v>
      </c>
      <c r="B1302" s="42">
        <v>3594.60009765625</v>
      </c>
      <c r="C1302" s="42">
        <v>25461</v>
      </c>
      <c r="D1302" s="289">
        <f t="shared" si="40"/>
        <v>2.1924250859926041E-3</v>
      </c>
      <c r="E1302" s="289">
        <f t="shared" si="41"/>
        <v>3.2655657795090313E-3</v>
      </c>
      <c r="F1302" s="14"/>
      <c r="G1302" s="14"/>
    </row>
    <row r="1303" spans="1:7" ht="14.25" customHeight="1" x14ac:dyDescent="0.3">
      <c r="A1303" s="41">
        <v>45845</v>
      </c>
      <c r="B1303" s="42">
        <v>3581.39990234375</v>
      </c>
      <c r="C1303" s="42">
        <v>25461.30078125</v>
      </c>
      <c r="D1303" s="289">
        <f t="shared" si="40"/>
        <v>1.1813410706570834E-5</v>
      </c>
      <c r="E1303" s="289">
        <f t="shared" si="41"/>
        <v>-3.672229164269702E-3</v>
      </c>
      <c r="F1303" s="14"/>
      <c r="G1303" s="14"/>
    </row>
    <row r="1304" spans="1:7" ht="14.25" customHeight="1" x14ac:dyDescent="0.3">
      <c r="A1304" s="41">
        <v>45846</v>
      </c>
      <c r="B1304" s="42">
        <v>3606.39990234375</v>
      </c>
      <c r="C1304" s="42">
        <v>25522.5</v>
      </c>
      <c r="D1304" s="289">
        <f t="shared" si="40"/>
        <v>2.4036171315751404E-3</v>
      </c>
      <c r="E1304" s="289">
        <f t="shared" si="41"/>
        <v>6.9805106052634415E-3</v>
      </c>
      <c r="F1304" s="14"/>
      <c r="G1304" s="14"/>
    </row>
    <row r="1305" spans="1:7" ht="14.25" customHeight="1" x14ac:dyDescent="0.3">
      <c r="A1305" s="41">
        <v>45847</v>
      </c>
      <c r="B1305" s="42">
        <v>3579.69995117188</v>
      </c>
      <c r="C1305" s="42">
        <v>25476.099609375</v>
      </c>
      <c r="D1305" s="289">
        <f t="shared" si="40"/>
        <v>-1.8180190273288275E-3</v>
      </c>
      <c r="E1305" s="289">
        <f t="shared" si="41"/>
        <v>-7.4034915413895347E-3</v>
      </c>
      <c r="F1305" s="14"/>
      <c r="G1305" s="14"/>
    </row>
    <row r="1306" spans="1:7" ht="14.25" customHeight="1" x14ac:dyDescent="0.3">
      <c r="A1306" s="41">
        <v>45848</v>
      </c>
      <c r="B1306" s="42">
        <v>3574.69995117188</v>
      </c>
      <c r="C1306" s="42">
        <v>25355.25</v>
      </c>
      <c r="D1306" s="289">
        <f t="shared" si="40"/>
        <v>-4.7436464461980792E-3</v>
      </c>
      <c r="E1306" s="289">
        <f t="shared" si="41"/>
        <v>-1.3967651110990905E-3</v>
      </c>
      <c r="F1306" s="14"/>
      <c r="G1306" s="14"/>
    </row>
    <row r="1307" spans="1:7" ht="14.25" customHeight="1" x14ac:dyDescent="0.3">
      <c r="A1307" s="41">
        <v>45849</v>
      </c>
      <c r="B1307" s="42">
        <v>3540.60009765625</v>
      </c>
      <c r="C1307" s="42">
        <v>25149.849609375</v>
      </c>
      <c r="D1307" s="289">
        <f t="shared" si="40"/>
        <v>-8.1009018102759789E-3</v>
      </c>
      <c r="E1307" s="289">
        <f t="shared" si="41"/>
        <v>-9.539221188187048E-3</v>
      </c>
      <c r="F1307" s="14"/>
      <c r="G1307" s="14"/>
    </row>
    <row r="1308" spans="1:7" ht="14.25" customHeight="1" x14ac:dyDescent="0.3">
      <c r="A1308" s="41">
        <v>45852</v>
      </c>
      <c r="B1308" s="42">
        <v>3495.89990234375</v>
      </c>
      <c r="C1308" s="42">
        <v>25082.30078125</v>
      </c>
      <c r="D1308" s="289">
        <f t="shared" si="40"/>
        <v>-2.685854157148523E-3</v>
      </c>
      <c r="E1308" s="289">
        <f t="shared" si="41"/>
        <v>-1.2625033632600847E-2</v>
      </c>
      <c r="F1308" s="14"/>
      <c r="G1308" s="14"/>
    </row>
    <row r="1309" spans="1:7" ht="14.25" customHeight="1" x14ac:dyDescent="0.3">
      <c r="A1309" s="41">
        <v>45853</v>
      </c>
      <c r="B1309" s="42">
        <v>3494</v>
      </c>
      <c r="C1309" s="42">
        <v>25195.80078125</v>
      </c>
      <c r="D1309" s="289">
        <f t="shared" si="40"/>
        <v>4.5251032187942535E-3</v>
      </c>
      <c r="E1309" s="289">
        <f t="shared" si="41"/>
        <v>-5.4346588770355002E-4</v>
      </c>
      <c r="F1309" s="14"/>
      <c r="G1309" s="14"/>
    </row>
    <row r="1310" spans="1:7" ht="14.25" customHeight="1" x14ac:dyDescent="0.3">
      <c r="A1310" s="41">
        <v>45854</v>
      </c>
      <c r="B1310" s="42">
        <v>3503.80004882813</v>
      </c>
      <c r="C1310" s="42">
        <v>25212.05078125</v>
      </c>
      <c r="D1310" s="289">
        <f t="shared" si="40"/>
        <v>6.4494874130346306E-4</v>
      </c>
      <c r="E1310" s="289">
        <f t="shared" si="41"/>
        <v>2.8048222175529485E-3</v>
      </c>
      <c r="F1310" s="14"/>
      <c r="G1310" s="14"/>
    </row>
    <row r="1311" spans="1:7" ht="14.25" customHeight="1" x14ac:dyDescent="0.3">
      <c r="A1311" s="41">
        <v>45855</v>
      </c>
      <c r="B1311" s="42">
        <v>3474</v>
      </c>
      <c r="C1311" s="42">
        <v>25111.44921875</v>
      </c>
      <c r="D1311" s="289">
        <f t="shared" si="40"/>
        <v>-3.9902173517283477E-3</v>
      </c>
      <c r="E1311" s="289">
        <f t="shared" si="41"/>
        <v>-8.5050654754391108E-3</v>
      </c>
      <c r="F1311" s="14"/>
      <c r="G1311" s="14"/>
    </row>
    <row r="1312" spans="1:7" ht="14.25" customHeight="1" x14ac:dyDescent="0.3">
      <c r="A1312" s="41">
        <v>45856</v>
      </c>
      <c r="B1312" s="42">
        <v>3464.80004882813</v>
      </c>
      <c r="C1312" s="42">
        <v>24968.400390625</v>
      </c>
      <c r="D1312" s="289">
        <f t="shared" si="40"/>
        <v>-5.6965580472428303E-3</v>
      </c>
      <c r="E1312" s="289">
        <f t="shared" si="41"/>
        <v>-2.6482300437161766E-3</v>
      </c>
      <c r="F1312" s="14"/>
      <c r="G1312" s="14"/>
    </row>
    <row r="1313" spans="1:7" ht="14.25" customHeight="1" x14ac:dyDescent="0.3">
      <c r="A1313" s="41">
        <v>45859</v>
      </c>
      <c r="B1313" s="42">
        <v>3502.80004882813</v>
      </c>
      <c r="C1313" s="42">
        <v>25090.69921875</v>
      </c>
      <c r="D1313" s="289">
        <f t="shared" si="40"/>
        <v>4.8981443028653171E-3</v>
      </c>
      <c r="E1313" s="289">
        <f t="shared" si="41"/>
        <v>1.0967443853752085E-2</v>
      </c>
      <c r="F1313" s="14"/>
      <c r="G1313" s="14"/>
    </row>
    <row r="1314" spans="1:7" ht="14.25" customHeight="1" x14ac:dyDescent="0.3">
      <c r="A1314" s="41">
        <v>45860</v>
      </c>
      <c r="B1314" s="42">
        <v>3464.60009765625</v>
      </c>
      <c r="C1314" s="42">
        <v>25060.900390625</v>
      </c>
      <c r="D1314" s="289">
        <f t="shared" si="40"/>
        <v>-1.1876443882732318E-3</v>
      </c>
      <c r="E1314" s="289">
        <f t="shared" si="41"/>
        <v>-1.0905547173513341E-2</v>
      </c>
      <c r="F1314" s="14"/>
      <c r="G1314" s="14"/>
    </row>
    <row r="1315" spans="1:7" ht="14.25" customHeight="1" x14ac:dyDescent="0.3">
      <c r="A1315" s="41">
        <v>45861</v>
      </c>
      <c r="B1315" s="42">
        <v>3484.89990234375</v>
      </c>
      <c r="C1315" s="42">
        <v>25219.900390625</v>
      </c>
      <c r="D1315" s="289">
        <f t="shared" si="40"/>
        <v>6.3445445902446549E-3</v>
      </c>
      <c r="E1315" s="289">
        <f t="shared" si="41"/>
        <v>5.8592057135923173E-3</v>
      </c>
      <c r="F1315" s="14"/>
      <c r="G1315" s="14"/>
    </row>
    <row r="1316" spans="1:7" ht="14.25" customHeight="1" x14ac:dyDescent="0.3">
      <c r="A1316" s="41">
        <v>45862</v>
      </c>
      <c r="B1316" s="42">
        <v>3477.5</v>
      </c>
      <c r="C1316" s="42">
        <v>25062.099609375</v>
      </c>
      <c r="D1316" s="289">
        <f t="shared" si="40"/>
        <v>-6.2569946274910479E-3</v>
      </c>
      <c r="E1316" s="289">
        <f t="shared" si="41"/>
        <v>-2.1234189076057069E-3</v>
      </c>
      <c r="F1316" s="14"/>
      <c r="G1316" s="14"/>
    </row>
    <row r="1317" spans="1:7" ht="14.25" customHeight="1" x14ac:dyDescent="0.3">
      <c r="A1317" s="41">
        <v>45863</v>
      </c>
      <c r="B1317" s="42">
        <v>3442.89990234375</v>
      </c>
      <c r="C1317" s="42">
        <v>24837</v>
      </c>
      <c r="D1317" s="289">
        <f t="shared" si="40"/>
        <v>-8.9816740370306722E-3</v>
      </c>
      <c r="E1317" s="289">
        <f t="shared" si="41"/>
        <v>-9.9497045740474487E-3</v>
      </c>
      <c r="F1317" s="14"/>
      <c r="G1317" s="14"/>
    </row>
    <row r="1318" spans="1:7" ht="14.25" customHeight="1" x14ac:dyDescent="0.3">
      <c r="A1318" s="41">
        <v>45866</v>
      </c>
      <c r="B1318" s="42">
        <v>3422.19995117188</v>
      </c>
      <c r="C1318" s="42">
        <v>24680.900390625</v>
      </c>
      <c r="D1318" s="289">
        <f t="shared" si="40"/>
        <v>-6.2849623293876073E-3</v>
      </c>
      <c r="E1318" s="289">
        <f t="shared" si="41"/>
        <v>-6.0123592782289521E-3</v>
      </c>
      <c r="F1318" s="14"/>
      <c r="G1318" s="14"/>
    </row>
    <row r="1319" spans="1:7" ht="14.25" customHeight="1" x14ac:dyDescent="0.3">
      <c r="A1319" s="41">
        <v>45867</v>
      </c>
      <c r="B1319" s="42">
        <v>3495.60009765625</v>
      </c>
      <c r="C1319" s="42">
        <v>24821.099609375</v>
      </c>
      <c r="D1319" s="289">
        <f t="shared" si="40"/>
        <v>5.6804742343700898E-3</v>
      </c>
      <c r="E1319" s="289">
        <f t="shared" si="41"/>
        <v>2.1448234332197696E-2</v>
      </c>
      <c r="F1319" s="14"/>
      <c r="G1319" s="14"/>
    </row>
    <row r="1320" spans="1:7" ht="14.25" customHeight="1" x14ac:dyDescent="0.3">
      <c r="A1320" s="41">
        <v>45868</v>
      </c>
      <c r="B1320" s="42">
        <v>3665.10009765625</v>
      </c>
      <c r="C1320" s="42">
        <v>24855.05078125</v>
      </c>
      <c r="D1320" s="289">
        <f t="shared" si="40"/>
        <v>1.3678351245235141E-3</v>
      </c>
      <c r="E1320" s="289">
        <f t="shared" si="41"/>
        <v>4.8489528339825637E-2</v>
      </c>
      <c r="F1320" s="14"/>
      <c r="G1320" s="14"/>
    </row>
    <row r="1321" spans="1:7" ht="14.25" customHeight="1" x14ac:dyDescent="0.3">
      <c r="A1321" s="41">
        <v>45869</v>
      </c>
      <c r="B1321" s="42">
        <v>3636.5</v>
      </c>
      <c r="C1321" s="42">
        <v>24768.349609375</v>
      </c>
      <c r="D1321" s="289">
        <f t="shared" si="40"/>
        <v>-3.4882717656889721E-3</v>
      </c>
      <c r="E1321" s="289">
        <f t="shared" si="41"/>
        <v>-7.8033605888524369E-3</v>
      </c>
      <c r="F1321" s="14"/>
      <c r="G1321" s="14"/>
    </row>
    <row r="1322" spans="1:7" ht="14.25" customHeight="1" x14ac:dyDescent="0.3">
      <c r="A1322" s="41">
        <v>45870</v>
      </c>
      <c r="B1322" s="42">
        <v>3587.30004882813</v>
      </c>
      <c r="C1322" s="42">
        <v>24565.349609375</v>
      </c>
      <c r="D1322" s="289">
        <f t="shared" si="40"/>
        <v>-8.1959437427822409E-3</v>
      </c>
      <c r="E1322" s="289">
        <f t="shared" si="41"/>
        <v>-1.352947921679362E-2</v>
      </c>
      <c r="F1322" s="14"/>
      <c r="G1322" s="14"/>
    </row>
    <row r="1323" spans="1:7" ht="14.25" customHeight="1" x14ac:dyDescent="0.3">
      <c r="A1323" s="41">
        <v>45873</v>
      </c>
      <c r="B1323" s="42">
        <v>3631.10009765625</v>
      </c>
      <c r="C1323" s="42">
        <v>24722.75</v>
      </c>
      <c r="D1323" s="289">
        <f t="shared" si="40"/>
        <v>6.4074150430544043E-3</v>
      </c>
      <c r="E1323" s="289">
        <f t="shared" si="41"/>
        <v>1.2209753361007046E-2</v>
      </c>
      <c r="F1323" s="14"/>
      <c r="G1323" s="14"/>
    </row>
    <row r="1324" spans="1:7" ht="14.25" customHeight="1" x14ac:dyDescent="0.3">
      <c r="A1324" s="41">
        <v>45874</v>
      </c>
      <c r="B1324" s="42">
        <v>3652.60009765625</v>
      </c>
      <c r="C1324" s="42">
        <v>24649.55078125</v>
      </c>
      <c r="D1324" s="289">
        <f t="shared" si="40"/>
        <v>-2.9608040671041855E-3</v>
      </c>
      <c r="E1324" s="289">
        <f t="shared" si="41"/>
        <v>5.921070590666864E-3</v>
      </c>
      <c r="F1324" s="14"/>
      <c r="G1324" s="14"/>
    </row>
    <row r="1325" spans="1:7" ht="14.25" customHeight="1" x14ac:dyDescent="0.3">
      <c r="A1325" s="41">
        <v>45875</v>
      </c>
      <c r="B1325" s="42">
        <v>3628.39990234375</v>
      </c>
      <c r="C1325" s="42">
        <v>24574.19921875</v>
      </c>
      <c r="D1325" s="289">
        <f t="shared" si="40"/>
        <v>-3.0569142281212337E-3</v>
      </c>
      <c r="E1325" s="289">
        <f t="shared" si="41"/>
        <v>-6.6254708058592141E-3</v>
      </c>
      <c r="F1325" s="14"/>
      <c r="G1325" s="14"/>
    </row>
    <row r="1326" spans="1:7" ht="14.25" customHeight="1" x14ac:dyDescent="0.3">
      <c r="A1326" s="41">
        <v>45876</v>
      </c>
      <c r="B1326" s="42">
        <v>3641.60009765625</v>
      </c>
      <c r="C1326" s="42">
        <v>24596.150390625</v>
      </c>
      <c r="D1326" s="289">
        <f t="shared" si="40"/>
        <v>8.9326092295415906E-4</v>
      </c>
      <c r="E1326" s="289">
        <f t="shared" si="41"/>
        <v>3.6380210747920558E-3</v>
      </c>
      <c r="F1326" s="14"/>
      <c r="G1326" s="14"/>
    </row>
    <row r="1327" spans="1:7" ht="14.25" customHeight="1" x14ac:dyDescent="0.3">
      <c r="A1327" s="41">
        <v>45877</v>
      </c>
      <c r="B1327" s="42">
        <v>3607.60009765625</v>
      </c>
      <c r="C1327" s="42">
        <v>24363.30078125</v>
      </c>
      <c r="D1327" s="289">
        <f t="shared" si="40"/>
        <v>-9.4669127354072569E-3</v>
      </c>
      <c r="E1327" s="289">
        <f t="shared" si="41"/>
        <v>-9.3365551099041742E-3</v>
      </c>
      <c r="F1327" s="14"/>
      <c r="G1327" s="14"/>
    </row>
    <row r="1328" spans="1:7" ht="14.25" customHeight="1" x14ac:dyDescent="0.3">
      <c r="A1328" s="41">
        <v>45880</v>
      </c>
      <c r="B1328" s="42">
        <v>3668.39990234375</v>
      </c>
      <c r="C1328" s="42">
        <v>24585.05078125</v>
      </c>
      <c r="D1328" s="289">
        <f t="shared" si="40"/>
        <v>9.1018044718578876E-3</v>
      </c>
      <c r="E1328" s="289">
        <f t="shared" si="41"/>
        <v>1.6853255084176268E-2</v>
      </c>
      <c r="F1328" s="14"/>
      <c r="G1328" s="14"/>
    </row>
    <row r="1329" spans="1:7" ht="14.25" customHeight="1" x14ac:dyDescent="0.3">
      <c r="A1329" s="41">
        <v>45881</v>
      </c>
      <c r="B1329" s="42">
        <v>3686.10009765625</v>
      </c>
      <c r="C1329" s="42">
        <v>24487.400390625</v>
      </c>
      <c r="D1329" s="289">
        <f t="shared" si="40"/>
        <v>-3.9719417907191756E-3</v>
      </c>
      <c r="E1329" s="289">
        <f t="shared" si="41"/>
        <v>4.8250451923715571E-3</v>
      </c>
      <c r="F1329" s="14"/>
      <c r="G1329" s="14"/>
    </row>
    <row r="1330" spans="1:7" ht="14.25" customHeight="1" x14ac:dyDescent="0.3">
      <c r="A1330" s="41">
        <v>45882</v>
      </c>
      <c r="B1330" s="42">
        <v>3693.69995117188</v>
      </c>
      <c r="C1330" s="42">
        <v>24619.349609375</v>
      </c>
      <c r="D1330" s="289">
        <f t="shared" si="40"/>
        <v>5.3884535167120782E-3</v>
      </c>
      <c r="E1330" s="289">
        <f t="shared" si="41"/>
        <v>2.0617599398514035E-3</v>
      </c>
      <c r="F1330" s="14"/>
      <c r="G1330" s="14"/>
    </row>
    <row r="1331" spans="1:7" ht="14.25" customHeight="1" x14ac:dyDescent="0.3">
      <c r="A1331" s="41">
        <v>45883</v>
      </c>
      <c r="B1331" s="42">
        <v>3677</v>
      </c>
      <c r="C1331" s="42">
        <v>24631.30078125</v>
      </c>
      <c r="D1331" s="289">
        <f t="shared" si="40"/>
        <v>4.8543816407111817E-4</v>
      </c>
      <c r="E1331" s="289">
        <f t="shared" si="41"/>
        <v>-4.5211986335223844E-3</v>
      </c>
      <c r="F1331" s="14"/>
      <c r="G1331" s="14"/>
    </row>
    <row r="1332" spans="1:7" ht="14.25" customHeight="1" x14ac:dyDescent="0.3">
      <c r="A1332" s="41">
        <v>45887</v>
      </c>
      <c r="B1332" s="42">
        <v>3635.10009765625</v>
      </c>
      <c r="C1332" s="42">
        <v>24876.94921875</v>
      </c>
      <c r="D1332" s="289">
        <f t="shared" si="40"/>
        <v>9.9730192766349594E-3</v>
      </c>
      <c r="E1332" s="289">
        <f t="shared" si="41"/>
        <v>-1.1395132538414468E-2</v>
      </c>
      <c r="F1332" s="14"/>
      <c r="G1332" s="14"/>
    </row>
    <row r="1333" spans="1:7" ht="14.25" customHeight="1" x14ac:dyDescent="0.3">
      <c r="A1333" s="41">
        <v>45888</v>
      </c>
      <c r="B1333" s="42">
        <v>3613</v>
      </c>
      <c r="C1333" s="42">
        <v>24980.650390625</v>
      </c>
      <c r="D1333" s="289">
        <f t="shared" si="40"/>
        <v>4.1685646806256856E-3</v>
      </c>
      <c r="E1333" s="289">
        <f t="shared" si="41"/>
        <v>-6.0796393668771749E-3</v>
      </c>
      <c r="F1333" s="14"/>
      <c r="G1333" s="14"/>
    </row>
    <row r="1334" spans="1:7" ht="14.25" customHeight="1" x14ac:dyDescent="0.3">
      <c r="A1334" s="41">
        <v>45889</v>
      </c>
      <c r="B1334" s="42">
        <v>3592.30004882813</v>
      </c>
      <c r="C1334" s="42">
        <v>25050.55078125</v>
      </c>
      <c r="D1334" s="289">
        <f t="shared" si="40"/>
        <v>2.7981813736616301E-3</v>
      </c>
      <c r="E1334" s="289">
        <f t="shared" si="41"/>
        <v>-5.7292973074647103E-3</v>
      </c>
      <c r="F1334" s="14"/>
      <c r="G1334" s="14"/>
    </row>
    <row r="1335" spans="1:7" ht="14.25" customHeight="1" x14ac:dyDescent="0.3">
      <c r="A1335" s="41">
        <v>45890</v>
      </c>
      <c r="B1335" s="42">
        <v>3612.60009765625</v>
      </c>
      <c r="C1335" s="42">
        <v>25083.75</v>
      </c>
      <c r="D1335" s="289">
        <f t="shared" si="40"/>
        <v>1.325288974278728E-3</v>
      </c>
      <c r="E1335" s="289">
        <f t="shared" si="41"/>
        <v>5.6509892136494058E-3</v>
      </c>
      <c r="F1335" s="14"/>
      <c r="G1335" s="14"/>
    </row>
    <row r="1336" spans="1:7" ht="14.25" customHeight="1" x14ac:dyDescent="0.3">
      <c r="A1336" s="41">
        <v>45891</v>
      </c>
      <c r="B1336" s="42">
        <v>3595.80004882813</v>
      </c>
      <c r="C1336" s="42">
        <v>24870.099609375</v>
      </c>
      <c r="D1336" s="289">
        <f t="shared" si="40"/>
        <v>-8.5174820600986689E-3</v>
      </c>
      <c r="E1336" s="289">
        <f t="shared" si="41"/>
        <v>-4.6504036909646822E-3</v>
      </c>
      <c r="F1336" s="14"/>
      <c r="G1336" s="14"/>
    </row>
    <row r="1337" spans="1:7" ht="14.25" customHeight="1" x14ac:dyDescent="0.3">
      <c r="A1337" s="41">
        <v>45894</v>
      </c>
      <c r="B1337" s="42">
        <v>3603.10009765625</v>
      </c>
      <c r="C1337" s="42">
        <v>24967.75</v>
      </c>
      <c r="D1337" s="289">
        <f t="shared" si="40"/>
        <v>3.9264173509055761E-3</v>
      </c>
      <c r="E1337" s="289">
        <f t="shared" si="41"/>
        <v>2.0301598334142861E-3</v>
      </c>
      <c r="F1337" s="14"/>
      <c r="G1337" s="14"/>
    </row>
    <row r="1338" spans="1:7" ht="14.25" customHeight="1" x14ac:dyDescent="0.3">
      <c r="A1338" s="41">
        <v>45895</v>
      </c>
      <c r="B1338" s="42">
        <v>3541.30004882813</v>
      </c>
      <c r="C1338" s="42">
        <v>24712.05078125</v>
      </c>
      <c r="D1338" s="289">
        <f t="shared" si="40"/>
        <v>-1.0241179872034925E-2</v>
      </c>
      <c r="E1338" s="289">
        <f t="shared" si="41"/>
        <v>-1.7151910064424739E-2</v>
      </c>
      <c r="F1338" s="14"/>
      <c r="G1338" s="14"/>
    </row>
    <row r="1339" spans="1:7" ht="14.25" customHeight="1" x14ac:dyDescent="0.3">
      <c r="A1339" s="41">
        <v>45897</v>
      </c>
      <c r="B1339" s="42">
        <v>3560.10009765625</v>
      </c>
      <c r="C1339" s="42">
        <v>24500.900390625</v>
      </c>
      <c r="D1339" s="289">
        <f t="shared" si="40"/>
        <v>-8.5444301039235507E-3</v>
      </c>
      <c r="E1339" s="289">
        <f t="shared" si="41"/>
        <v>5.3087986244885459E-3</v>
      </c>
      <c r="F1339" s="14"/>
      <c r="G1339" s="14"/>
    </row>
    <row r="1340" spans="1:7" ht="14.25" customHeight="1" x14ac:dyDescent="0.3">
      <c r="A1340" s="41">
        <v>45898</v>
      </c>
      <c r="B1340" s="42">
        <v>3601</v>
      </c>
      <c r="C1340" s="42">
        <v>24426.849609375</v>
      </c>
      <c r="D1340" s="289">
        <f t="shared" si="40"/>
        <v>-3.0223697933295024E-3</v>
      </c>
      <c r="E1340" s="289">
        <f t="shared" si="41"/>
        <v>1.1488413590021238E-2</v>
      </c>
      <c r="F1340" s="14"/>
      <c r="G1340" s="14"/>
    </row>
    <row r="1341" spans="1:7" ht="14.25" customHeight="1" x14ac:dyDescent="0.3">
      <c r="A1341" s="41">
        <v>45901</v>
      </c>
      <c r="B1341" s="42">
        <v>3598.39990234375</v>
      </c>
      <c r="C1341" s="42">
        <v>24625.05078125</v>
      </c>
      <c r="D1341" s="289">
        <f t="shared" si="40"/>
        <v>8.1140701746053485E-3</v>
      </c>
      <c r="E1341" s="289">
        <f t="shared" si="41"/>
        <v>-7.220487798528187E-4</v>
      </c>
      <c r="F1341" s="14"/>
      <c r="G1341" s="14"/>
    </row>
    <row r="1342" spans="1:7" ht="14.25" customHeight="1" x14ac:dyDescent="0.3">
      <c r="A1342" s="41">
        <v>45902</v>
      </c>
      <c r="B1342" s="42">
        <v>3574.89990234375</v>
      </c>
      <c r="C1342" s="42">
        <v>24579.599609375</v>
      </c>
      <c r="D1342" s="289">
        <f t="shared" si="40"/>
        <v>-1.8457290617896885E-3</v>
      </c>
      <c r="E1342" s="289">
        <f t="shared" si="41"/>
        <v>-6.53068047959142E-3</v>
      </c>
      <c r="F1342" s="14"/>
      <c r="G1342" s="14"/>
    </row>
    <row r="1343" spans="1:7" ht="14.25" customHeight="1" x14ac:dyDescent="0.3">
      <c r="A1343" s="41">
        <v>45903</v>
      </c>
      <c r="B1343" s="42">
        <v>3600.80004882813</v>
      </c>
      <c r="C1343" s="42">
        <v>24715.05078125</v>
      </c>
      <c r="D1343" s="289">
        <f t="shared" si="40"/>
        <v>5.5107151470171652E-3</v>
      </c>
      <c r="E1343" s="289">
        <f t="shared" si="41"/>
        <v>7.2449990746313022E-3</v>
      </c>
      <c r="F1343" s="14"/>
      <c r="G1343" s="14"/>
    </row>
    <row r="1344" spans="1:7" ht="14.25" customHeight="1" x14ac:dyDescent="0.3">
      <c r="A1344" s="41">
        <v>45904</v>
      </c>
      <c r="B1344" s="42">
        <v>3592.60009765625</v>
      </c>
      <c r="C1344" s="42">
        <v>24734.30078125</v>
      </c>
      <c r="D1344" s="289">
        <f t="shared" si="40"/>
        <v>7.7887762280480347E-4</v>
      </c>
      <c r="E1344" s="289">
        <f t="shared" si="41"/>
        <v>-2.2772581261624489E-3</v>
      </c>
      <c r="F1344" s="14"/>
      <c r="G1344" s="14"/>
    </row>
    <row r="1345" spans="1:7" ht="14.25" customHeight="1" x14ac:dyDescent="0.3">
      <c r="A1345" s="41">
        <v>45905</v>
      </c>
      <c r="B1345" s="42">
        <v>3553.60009765625</v>
      </c>
      <c r="C1345" s="42">
        <v>24741</v>
      </c>
      <c r="D1345" s="289">
        <f t="shared" si="40"/>
        <v>2.708473067117542E-4</v>
      </c>
      <c r="E1345" s="289">
        <f t="shared" si="41"/>
        <v>-1.0855647425229133E-2</v>
      </c>
      <c r="F1345" s="14"/>
      <c r="G1345" s="14"/>
    </row>
    <row r="1346" spans="1:7" ht="14.25" customHeight="1" x14ac:dyDescent="0.3">
      <c r="A1346" s="41">
        <v>45908</v>
      </c>
      <c r="B1346" s="42">
        <v>3529.60009765625</v>
      </c>
      <c r="C1346" s="42">
        <v>24773.150390625</v>
      </c>
      <c r="D1346" s="289">
        <f t="shared" si="40"/>
        <v>1.2994782193524919E-3</v>
      </c>
      <c r="E1346" s="289">
        <f t="shared" si="41"/>
        <v>-6.7537143574002648E-3</v>
      </c>
      <c r="F1346" s="14"/>
      <c r="G1346" s="14"/>
    </row>
    <row r="1347" spans="1:7" ht="14.25" customHeight="1" x14ac:dyDescent="0.3">
      <c r="A1347" s="41">
        <v>45909</v>
      </c>
      <c r="B1347" s="42">
        <v>3525</v>
      </c>
      <c r="C1347" s="42">
        <v>24868.599609375</v>
      </c>
      <c r="D1347" s="289">
        <f t="shared" ref="D1347:D1410" si="42">(C1347-C1346)/C1346</f>
        <v>3.852930178235273E-3</v>
      </c>
      <c r="E1347" s="289">
        <f t="shared" ref="E1347:E1410" si="43">(B1347-B1346)/B1346</f>
        <v>-1.3032914576653002E-3</v>
      </c>
      <c r="F1347" s="14"/>
      <c r="G1347" s="14"/>
    </row>
    <row r="1348" spans="1:7" ht="14.25" customHeight="1" x14ac:dyDescent="0.3">
      <c r="A1348" s="41">
        <v>45910</v>
      </c>
      <c r="B1348" s="42">
        <v>3550</v>
      </c>
      <c r="C1348" s="42">
        <v>24973.099609375</v>
      </c>
      <c r="D1348" s="289">
        <f t="shared" si="42"/>
        <v>4.20208623088714E-3</v>
      </c>
      <c r="E1348" s="289">
        <f t="shared" si="43"/>
        <v>7.0921985815602835E-3</v>
      </c>
      <c r="F1348" s="14"/>
      <c r="G1348" s="14"/>
    </row>
    <row r="1349" spans="1:7" ht="14.25" customHeight="1" x14ac:dyDescent="0.3">
      <c r="A1349" s="41">
        <v>45911</v>
      </c>
      <c r="B1349" s="42">
        <v>3539.69995117188</v>
      </c>
      <c r="C1349" s="42">
        <v>25005.5</v>
      </c>
      <c r="D1349" s="289">
        <f t="shared" si="42"/>
        <v>1.2974116602184522E-3</v>
      </c>
      <c r="E1349" s="289">
        <f t="shared" si="43"/>
        <v>-2.9014222051042247E-3</v>
      </c>
      <c r="F1349" s="14"/>
      <c r="G1349" s="14"/>
    </row>
    <row r="1350" spans="1:7" ht="14.25" customHeight="1" x14ac:dyDescent="0.3">
      <c r="A1350" s="41">
        <v>45912</v>
      </c>
      <c r="B1350" s="42">
        <v>3579.80004882813</v>
      </c>
      <c r="C1350" s="42">
        <v>25114</v>
      </c>
      <c r="D1350" s="289">
        <f t="shared" si="42"/>
        <v>4.3390454100097975E-3</v>
      </c>
      <c r="E1350" s="289">
        <f t="shared" si="43"/>
        <v>1.1328671415489371E-2</v>
      </c>
      <c r="F1350" s="14"/>
      <c r="G1350" s="14"/>
    </row>
    <row r="1351" spans="1:7" ht="14.25" customHeight="1" x14ac:dyDescent="0.3">
      <c r="A1351" s="41">
        <v>45915</v>
      </c>
      <c r="B1351" s="42">
        <v>3586.19995117188</v>
      </c>
      <c r="C1351" s="42">
        <v>25069.19921875</v>
      </c>
      <c r="D1351" s="289">
        <f t="shared" si="42"/>
        <v>-1.7838966811340288E-3</v>
      </c>
      <c r="E1351" s="289">
        <f t="shared" si="43"/>
        <v>1.7877820706340981E-3</v>
      </c>
      <c r="F1351" s="14"/>
      <c r="G1351" s="14"/>
    </row>
    <row r="1352" spans="1:7" ht="14.25" customHeight="1" x14ac:dyDescent="0.3">
      <c r="A1352" s="41">
        <v>45916</v>
      </c>
      <c r="B1352" s="42">
        <v>3667.80004882813</v>
      </c>
      <c r="C1352" s="42">
        <v>25239.099609375</v>
      </c>
      <c r="D1352" s="289">
        <f t="shared" si="42"/>
        <v>6.7772563910987009E-3</v>
      </c>
      <c r="E1352" s="289">
        <f t="shared" si="43"/>
        <v>2.2753917452256151E-2</v>
      </c>
      <c r="F1352" s="14"/>
      <c r="G1352" s="14"/>
    </row>
    <row r="1353" spans="1:7" ht="14.25" customHeight="1" x14ac:dyDescent="0.3">
      <c r="A1353" s="41">
        <v>45917</v>
      </c>
      <c r="B1353" s="42">
        <v>3685.5</v>
      </c>
      <c r="C1353" s="42">
        <v>25330.25</v>
      </c>
      <c r="D1353" s="289">
        <f t="shared" si="42"/>
        <v>3.6114755294654973E-3</v>
      </c>
      <c r="E1353" s="289">
        <f t="shared" si="43"/>
        <v>4.8257677453069367E-3</v>
      </c>
      <c r="F1353" s="14"/>
      <c r="G1353" s="14"/>
    </row>
    <row r="1354" spans="1:7" ht="14.25" customHeight="1" x14ac:dyDescent="0.3">
      <c r="A1354" s="41">
        <v>45918</v>
      </c>
      <c r="B1354" s="42">
        <v>3686</v>
      </c>
      <c r="C1354" s="42">
        <v>25423.599609375</v>
      </c>
      <c r="D1354" s="289">
        <f t="shared" si="42"/>
        <v>3.6853015416350018E-3</v>
      </c>
      <c r="E1354" s="289">
        <f t="shared" si="43"/>
        <v>1.35666802333469E-4</v>
      </c>
      <c r="F1354" s="14"/>
      <c r="G1354" s="14"/>
    </row>
    <row r="1355" spans="1:7" ht="14.25" customHeight="1" x14ac:dyDescent="0.3">
      <c r="A1355" s="41">
        <v>45919</v>
      </c>
      <c r="B1355" s="42">
        <v>3675.39990234375</v>
      </c>
      <c r="C1355" s="42">
        <v>25327.05078125</v>
      </c>
      <c r="D1355" s="289">
        <f t="shared" si="42"/>
        <v>-3.7976065391384403E-3</v>
      </c>
      <c r="E1355" s="289">
        <f t="shared" si="43"/>
        <v>-2.8757725600244166E-3</v>
      </c>
      <c r="F1355" s="14"/>
      <c r="G1355" s="14"/>
    </row>
    <row r="1356" spans="1:7" ht="14.25" customHeight="1" x14ac:dyDescent="0.3">
      <c r="A1356" s="41">
        <v>45922</v>
      </c>
      <c r="B1356" s="42">
        <v>3644.5</v>
      </c>
      <c r="C1356" s="42">
        <v>25202.349609375</v>
      </c>
      <c r="D1356" s="289">
        <f t="shared" si="42"/>
        <v>-4.9236357186648108E-3</v>
      </c>
      <c r="E1356" s="289">
        <f t="shared" si="43"/>
        <v>-8.4072218438177495E-3</v>
      </c>
      <c r="F1356" s="14"/>
      <c r="G1356" s="14"/>
    </row>
    <row r="1357" spans="1:7" ht="14.25" customHeight="1" x14ac:dyDescent="0.3">
      <c r="A1357" s="41">
        <v>45923</v>
      </c>
      <c r="B1357" s="42">
        <v>3657.60009765625</v>
      </c>
      <c r="C1357" s="42">
        <v>25169.5</v>
      </c>
      <c r="D1357" s="289">
        <f t="shared" si="42"/>
        <v>-1.3034343973539794E-3</v>
      </c>
      <c r="E1357" s="289">
        <f t="shared" si="43"/>
        <v>3.5944841970777883E-3</v>
      </c>
      <c r="F1357" s="14"/>
      <c r="G1357" s="14"/>
    </row>
    <row r="1358" spans="1:7" ht="14.25" customHeight="1" x14ac:dyDescent="0.3">
      <c r="A1358" s="41">
        <v>45924</v>
      </c>
      <c r="B1358" s="42">
        <v>3673.80004882813</v>
      </c>
      <c r="C1358" s="42">
        <v>25056.900390625</v>
      </c>
      <c r="D1358" s="289">
        <f t="shared" si="42"/>
        <v>-4.4736530076084149E-3</v>
      </c>
      <c r="E1358" s="289">
        <f t="shared" si="43"/>
        <v>4.4291203902418839E-3</v>
      </c>
      <c r="F1358" s="14"/>
      <c r="G1358" s="14"/>
    </row>
    <row r="1359" spans="1:7" ht="14.25" customHeight="1" x14ac:dyDescent="0.3">
      <c r="A1359" s="41">
        <v>45925</v>
      </c>
      <c r="B1359" s="42">
        <v>3644.39990234375</v>
      </c>
      <c r="C1359" s="42">
        <v>24890.849609375</v>
      </c>
      <c r="D1359" s="289">
        <f t="shared" si="42"/>
        <v>-6.6269482123226878E-3</v>
      </c>
      <c r="E1359" s="289">
        <f t="shared" si="43"/>
        <v>-8.0026528645068939E-3</v>
      </c>
      <c r="F1359" s="14"/>
      <c r="G1359" s="14"/>
    </row>
    <row r="1360" spans="1:7" ht="14.25" customHeight="1" x14ac:dyDescent="0.3">
      <c r="A1360" s="41">
        <v>45926</v>
      </c>
      <c r="B1360" s="42">
        <v>3729.5</v>
      </c>
      <c r="C1360" s="42">
        <v>24654.69921875</v>
      </c>
      <c r="D1360" s="289">
        <f t="shared" si="42"/>
        <v>-9.4874379272315099E-3</v>
      </c>
      <c r="E1360" s="289">
        <f t="shared" si="43"/>
        <v>2.3350921945070099E-2</v>
      </c>
      <c r="F1360" s="14"/>
      <c r="G1360" s="14"/>
    </row>
    <row r="1361" spans="1:7" ht="14.25" customHeight="1" x14ac:dyDescent="0.3">
      <c r="A1361" s="41">
        <v>45929</v>
      </c>
      <c r="B1361" s="42">
        <v>3688.39990234375</v>
      </c>
      <c r="C1361" s="42">
        <v>24634.900390625</v>
      </c>
      <c r="D1361" s="289">
        <f t="shared" si="42"/>
        <v>-8.030448049409952E-4</v>
      </c>
      <c r="E1361" s="289">
        <f t="shared" si="43"/>
        <v>-1.1020270185346561E-2</v>
      </c>
      <c r="F1361" s="14"/>
      <c r="G1361" s="14"/>
    </row>
    <row r="1362" spans="1:7" ht="14.25" customHeight="1" x14ac:dyDescent="0.3">
      <c r="A1362" s="41">
        <v>45930</v>
      </c>
      <c r="B1362" s="42">
        <v>3659</v>
      </c>
      <c r="C1362" s="42">
        <v>24611.099609375</v>
      </c>
      <c r="D1362" s="289">
        <f t="shared" si="42"/>
        <v>-9.6614075448251335E-4</v>
      </c>
      <c r="E1362" s="289">
        <f t="shared" si="43"/>
        <v>-7.9709096416221512E-3</v>
      </c>
      <c r="F1362" s="14"/>
      <c r="G1362" s="14"/>
    </row>
    <row r="1363" spans="1:7" ht="14.25" customHeight="1" x14ac:dyDescent="0.3">
      <c r="A1363" s="41">
        <v>45931</v>
      </c>
      <c r="B1363" s="42">
        <v>3670.30004882813</v>
      </c>
      <c r="C1363" s="42">
        <v>24836.30078125</v>
      </c>
      <c r="D1363" s="289">
        <f t="shared" si="42"/>
        <v>9.1503904924758045E-3</v>
      </c>
      <c r="E1363" s="289">
        <f t="shared" si="43"/>
        <v>3.0882888297704297E-3</v>
      </c>
      <c r="F1363" s="14"/>
      <c r="G1363" s="14"/>
    </row>
    <row r="1364" spans="1:7" ht="14.25" customHeight="1" x14ac:dyDescent="0.3">
      <c r="A1364" s="41">
        <v>45933</v>
      </c>
      <c r="B1364" s="42">
        <v>3733.10009765625</v>
      </c>
      <c r="C1364" s="42">
        <v>24894.25</v>
      </c>
      <c r="D1364" s="289">
        <f t="shared" si="42"/>
        <v>2.3332467769817144E-3</v>
      </c>
      <c r="E1364" s="289">
        <f t="shared" si="43"/>
        <v>1.7110331033608841E-2</v>
      </c>
      <c r="F1364" s="14"/>
      <c r="G1364" s="14"/>
    </row>
    <row r="1365" spans="1:7" ht="14.25" customHeight="1" x14ac:dyDescent="0.3">
      <c r="A1365" s="41">
        <v>45936</v>
      </c>
      <c r="B1365" s="42">
        <v>3737</v>
      </c>
      <c r="C1365" s="42">
        <v>25077.650390625</v>
      </c>
      <c r="D1365" s="289">
        <f t="shared" si="42"/>
        <v>7.3671787912871446E-3</v>
      </c>
      <c r="E1365" s="289">
        <f t="shared" si="43"/>
        <v>1.0446819645148207E-3</v>
      </c>
      <c r="F1365" s="14"/>
      <c r="G1365" s="14"/>
    </row>
    <row r="1366" spans="1:7" ht="14.25" customHeight="1" x14ac:dyDescent="0.3">
      <c r="A1366" s="41">
        <v>45937</v>
      </c>
      <c r="B1366" s="42">
        <v>3729.69995117188</v>
      </c>
      <c r="C1366" s="42">
        <v>25108.30078125</v>
      </c>
      <c r="D1366" s="289">
        <f t="shared" si="42"/>
        <v>1.2222193924698109E-3</v>
      </c>
      <c r="E1366" s="289">
        <f t="shared" si="43"/>
        <v>-1.9534516532298631E-3</v>
      </c>
      <c r="F1366" s="14"/>
      <c r="G1366" s="14"/>
    </row>
    <row r="1367" spans="1:7" ht="14.25" customHeight="1" x14ac:dyDescent="0.3">
      <c r="A1367" s="41">
        <v>45938</v>
      </c>
      <c r="B1367" s="42">
        <v>3729.80004882813</v>
      </c>
      <c r="C1367" s="42">
        <v>25046.150390625</v>
      </c>
      <c r="D1367" s="289">
        <f t="shared" si="42"/>
        <v>-2.4752925801897249E-3</v>
      </c>
      <c r="E1367" s="289">
        <f t="shared" si="43"/>
        <v>2.6837991677735122E-5</v>
      </c>
      <c r="F1367" s="14"/>
      <c r="G1367" s="14"/>
    </row>
    <row r="1368" spans="1:7" ht="14.25" customHeight="1" x14ac:dyDescent="0.3">
      <c r="A1368" s="41">
        <v>45939</v>
      </c>
      <c r="B1368" s="42">
        <v>3769.19995117188</v>
      </c>
      <c r="C1368" s="42">
        <v>25181.80078125</v>
      </c>
      <c r="D1368" s="289">
        <f t="shared" si="42"/>
        <v>5.4160175719369296E-3</v>
      </c>
      <c r="E1368" s="289">
        <f t="shared" si="43"/>
        <v>1.0563542771181286E-2</v>
      </c>
      <c r="F1368" s="14"/>
      <c r="G1368" s="14"/>
    </row>
    <row r="1369" spans="1:7" ht="14.25" customHeight="1" x14ac:dyDescent="0.3">
      <c r="A1369" s="41">
        <v>45940</v>
      </c>
      <c r="B1369" s="42">
        <v>3784</v>
      </c>
      <c r="C1369" s="42">
        <v>25285.349609375</v>
      </c>
      <c r="D1369" s="289">
        <f t="shared" si="42"/>
        <v>4.1120501676790702E-3</v>
      </c>
      <c r="E1369" s="289">
        <f t="shared" si="43"/>
        <v>3.926575671189458E-3</v>
      </c>
      <c r="F1369" s="14"/>
      <c r="G1369" s="14"/>
    </row>
    <row r="1370" spans="1:7" ht="14.25" customHeight="1" x14ac:dyDescent="0.3">
      <c r="A1370" s="41">
        <v>45943</v>
      </c>
      <c r="B1370" s="42">
        <v>3769.5</v>
      </c>
      <c r="C1370" s="42">
        <v>25227.349609375</v>
      </c>
      <c r="D1370" s="289">
        <f t="shared" si="42"/>
        <v>-2.2938183927065595E-3</v>
      </c>
      <c r="E1370" s="289">
        <f t="shared" si="43"/>
        <v>-3.831923890063425E-3</v>
      </c>
      <c r="F1370" s="14"/>
      <c r="G1370" s="14"/>
    </row>
    <row r="1371" spans="1:7" ht="14.25" customHeight="1" x14ac:dyDescent="0.3">
      <c r="A1371" s="41">
        <v>45944</v>
      </c>
      <c r="B1371" s="42">
        <v>3744.30004882813</v>
      </c>
      <c r="C1371" s="42">
        <v>25145.5</v>
      </c>
      <c r="D1371" s="289">
        <f t="shared" si="42"/>
        <v>-3.2444791324643557E-3</v>
      </c>
      <c r="E1371" s="289">
        <f t="shared" si="43"/>
        <v>-6.6852238153256392E-3</v>
      </c>
      <c r="F1371" s="14"/>
      <c r="G1371" s="14"/>
    </row>
    <row r="1372" spans="1:7" ht="14.25" customHeight="1" x14ac:dyDescent="0.3">
      <c r="A1372" s="41">
        <v>45945</v>
      </c>
      <c r="B1372" s="42">
        <v>3828.69995117188</v>
      </c>
      <c r="C1372" s="42">
        <v>25323.55078125</v>
      </c>
      <c r="D1372" s="289">
        <f t="shared" si="42"/>
        <v>7.0808208725219226E-3</v>
      </c>
      <c r="E1372" s="289">
        <f t="shared" si="43"/>
        <v>2.2540902503303657E-2</v>
      </c>
      <c r="F1372" s="14"/>
      <c r="G1372" s="14"/>
    </row>
    <row r="1373" spans="1:7" ht="14.25" customHeight="1" x14ac:dyDescent="0.3">
      <c r="A1373" s="41">
        <v>45946</v>
      </c>
      <c r="B1373" s="42">
        <v>3861.80004882813</v>
      </c>
      <c r="C1373" s="42">
        <v>25585.30078125</v>
      </c>
      <c r="D1373" s="289">
        <f t="shared" si="42"/>
        <v>1.0336228211479895E-2</v>
      </c>
      <c r="E1373" s="289">
        <f t="shared" si="43"/>
        <v>8.6452576797298505E-3</v>
      </c>
      <c r="F1373" s="14"/>
      <c r="G1373" s="14"/>
    </row>
    <row r="1374" spans="1:7" ht="14.25" customHeight="1" x14ac:dyDescent="0.3">
      <c r="A1374" s="41">
        <v>45947</v>
      </c>
      <c r="B1374" s="42">
        <v>3839.39990234375</v>
      </c>
      <c r="C1374" s="42">
        <v>25709.849609375</v>
      </c>
      <c r="D1374" s="289">
        <f t="shared" si="42"/>
        <v>4.8679837376105692E-3</v>
      </c>
      <c r="E1374" s="289">
        <f t="shared" si="43"/>
        <v>-5.8004418149969639E-3</v>
      </c>
      <c r="F1374" s="14"/>
      <c r="G1374" s="14"/>
    </row>
    <row r="1375" spans="1:7" ht="14.25" customHeight="1" x14ac:dyDescent="0.3">
      <c r="A1375" s="41">
        <v>45950</v>
      </c>
      <c r="B1375" s="42">
        <v>3872.69995117188</v>
      </c>
      <c r="C1375" s="42">
        <v>25843.150390625</v>
      </c>
      <c r="D1375" s="289">
        <f t="shared" si="42"/>
        <v>5.1848137299641134E-3</v>
      </c>
      <c r="E1375" s="289">
        <f t="shared" si="43"/>
        <v>8.6732431304699705E-3</v>
      </c>
      <c r="F1375" s="14"/>
      <c r="G1375" s="14"/>
    </row>
    <row r="1376" spans="1:7" ht="14.25" customHeight="1" x14ac:dyDescent="0.3">
      <c r="A1376" s="41">
        <v>45951</v>
      </c>
      <c r="B1376" s="42">
        <v>3888.19995117188</v>
      </c>
      <c r="C1376" s="42">
        <v>25868.599609375</v>
      </c>
      <c r="D1376" s="289">
        <f t="shared" si="42"/>
        <v>9.8475682590277742E-4</v>
      </c>
      <c r="E1376" s="289">
        <f t="shared" si="43"/>
        <v>4.0023756540471713E-3</v>
      </c>
      <c r="F1376" s="14"/>
      <c r="G1376" s="14"/>
    </row>
    <row r="1377" spans="1:7" ht="14.25" customHeight="1" x14ac:dyDescent="0.3">
      <c r="A1377" s="41">
        <v>45953</v>
      </c>
      <c r="B1377" s="42">
        <v>3918.69995117188</v>
      </c>
      <c r="C1377" s="42">
        <v>25891.400390625</v>
      </c>
      <c r="D1377" s="289">
        <f t="shared" si="42"/>
        <v>8.8140763683770514E-4</v>
      </c>
      <c r="E1377" s="289">
        <f t="shared" si="43"/>
        <v>7.8442467936371135E-3</v>
      </c>
      <c r="F1377" s="14"/>
      <c r="G1377" s="14"/>
    </row>
    <row r="1378" spans="1:7" ht="14.25" customHeight="1" x14ac:dyDescent="0.3">
      <c r="A1378" s="41">
        <v>45954</v>
      </c>
      <c r="B1378" s="42">
        <v>3904.89990234375</v>
      </c>
      <c r="C1378" s="42">
        <v>25795.150390625</v>
      </c>
      <c r="D1378" s="289">
        <f t="shared" si="42"/>
        <v>-3.7174505259611641E-3</v>
      </c>
      <c r="E1378" s="289">
        <f t="shared" si="43"/>
        <v>-3.5215885370358919E-3</v>
      </c>
      <c r="F1378" s="14"/>
      <c r="G1378" s="14"/>
    </row>
    <row r="1379" spans="1:7" ht="14.25" customHeight="1" x14ac:dyDescent="0.3">
      <c r="A1379" s="41">
        <v>45957</v>
      </c>
      <c r="B1379" s="42">
        <v>3923.80004882813</v>
      </c>
      <c r="C1379" s="42">
        <v>25966.05078125</v>
      </c>
      <c r="D1379" s="289">
        <f t="shared" si="42"/>
        <v>6.6252915000298701E-3</v>
      </c>
      <c r="E1379" s="289">
        <f t="shared" si="43"/>
        <v>4.840110363145543E-3</v>
      </c>
      <c r="F1379" s="14"/>
      <c r="G1379" s="14"/>
    </row>
    <row r="1380" spans="1:7" ht="14.25" customHeight="1" x14ac:dyDescent="0.3">
      <c r="A1380" s="41">
        <v>45958</v>
      </c>
      <c r="B1380" s="42">
        <v>3972.80004882813</v>
      </c>
      <c r="C1380" s="42">
        <v>25936.19921875</v>
      </c>
      <c r="D1380" s="289">
        <f t="shared" si="42"/>
        <v>-1.1496381468049702E-3</v>
      </c>
      <c r="E1380" s="289">
        <f t="shared" si="43"/>
        <v>1.2487894232692665E-2</v>
      </c>
      <c r="F1380" s="14"/>
      <c r="G1380" s="14"/>
    </row>
    <row r="1381" spans="1:7" ht="14.25" customHeight="1" x14ac:dyDescent="0.3">
      <c r="A1381" s="41">
        <v>45959</v>
      </c>
      <c r="B1381" s="42">
        <v>3958.10009765625</v>
      </c>
      <c r="C1381" s="42">
        <v>26053.900390625</v>
      </c>
      <c r="D1381" s="289">
        <f t="shared" si="42"/>
        <v>4.5381040946782421E-3</v>
      </c>
      <c r="E1381" s="289">
        <f t="shared" si="43"/>
        <v>-3.7001487593658522E-3</v>
      </c>
      <c r="F1381" s="14"/>
      <c r="G1381" s="14"/>
    </row>
    <row r="1382" spans="1:7" ht="14.25" customHeight="1" x14ac:dyDescent="0.3">
      <c r="A1382" s="41">
        <v>45960</v>
      </c>
      <c r="B1382" s="42">
        <v>3987.5</v>
      </c>
      <c r="C1382" s="42">
        <v>25877.849609375</v>
      </c>
      <c r="D1382" s="289">
        <f t="shared" si="42"/>
        <v>-6.7571756478100502E-3</v>
      </c>
      <c r="E1382" s="289">
        <f t="shared" si="43"/>
        <v>7.4277814149164298E-3</v>
      </c>
      <c r="F1382" s="14"/>
      <c r="G1382" s="14"/>
    </row>
    <row r="1383" spans="1:7" ht="14.25" customHeight="1" x14ac:dyDescent="0.3">
      <c r="A1383" s="41">
        <v>45961</v>
      </c>
      <c r="B1383" s="42">
        <v>4030.89990234375</v>
      </c>
      <c r="C1383" s="42">
        <v>25722.099609375</v>
      </c>
      <c r="D1383" s="289">
        <f t="shared" si="42"/>
        <v>-6.0186608373972101E-3</v>
      </c>
      <c r="E1383" s="289">
        <f t="shared" si="43"/>
        <v>1.0883988048589342E-2</v>
      </c>
      <c r="F1383" s="14"/>
      <c r="G1383" s="14"/>
    </row>
    <row r="1384" spans="1:7" ht="14.25" customHeight="1" x14ac:dyDescent="0.3">
      <c r="A1384" s="41">
        <v>45964</v>
      </c>
      <c r="B1384" s="42">
        <v>3980.5</v>
      </c>
      <c r="C1384" s="42">
        <v>25763.349609375</v>
      </c>
      <c r="D1384" s="289">
        <f t="shared" si="42"/>
        <v>1.6036793506920993E-3</v>
      </c>
      <c r="E1384" s="289">
        <f t="shared" si="43"/>
        <v>-1.250338722488375E-2</v>
      </c>
      <c r="F1384" s="14"/>
      <c r="G1384" s="14"/>
    </row>
    <row r="1385" spans="1:7" ht="14.25" customHeight="1" x14ac:dyDescent="0.3">
      <c r="A1385" s="41">
        <v>45965</v>
      </c>
      <c r="B1385" s="42">
        <v>3924.39990234375</v>
      </c>
      <c r="C1385" s="42">
        <v>25597.650390625</v>
      </c>
      <c r="D1385" s="289">
        <f t="shared" si="42"/>
        <v>-6.4315867797603409E-3</v>
      </c>
      <c r="E1385" s="289">
        <f t="shared" si="43"/>
        <v>-1.4093731354415275E-2</v>
      </c>
      <c r="F1385" s="14"/>
      <c r="G1385" s="14"/>
    </row>
    <row r="1386" spans="1:7" ht="14.25" customHeight="1" x14ac:dyDescent="0.3">
      <c r="A1386" s="41">
        <v>45967</v>
      </c>
      <c r="B1386" s="42">
        <v>3881.60009765625</v>
      </c>
      <c r="C1386" s="42">
        <v>25509.69921875</v>
      </c>
      <c r="D1386" s="289">
        <f t="shared" si="42"/>
        <v>-3.4359080045569977E-3</v>
      </c>
      <c r="E1386" s="289">
        <f t="shared" si="43"/>
        <v>-1.0906076279825327E-2</v>
      </c>
      <c r="F1386" s="14"/>
      <c r="G1386" s="14"/>
    </row>
    <row r="1387" spans="1:7" ht="14.25" customHeight="1" x14ac:dyDescent="0.3">
      <c r="A1387" s="41">
        <v>45968</v>
      </c>
      <c r="B1387" s="42">
        <v>3882.5</v>
      </c>
      <c r="C1387" s="42">
        <v>25492.30078125</v>
      </c>
      <c r="D1387" s="289">
        <f t="shared" si="42"/>
        <v>-6.8203224784445498E-4</v>
      </c>
      <c r="E1387" s="289">
        <f t="shared" si="43"/>
        <v>2.3183798462221038E-4</v>
      </c>
      <c r="F1387" s="14"/>
      <c r="G1387" s="14"/>
    </row>
    <row r="1388" spans="1:7" ht="14.25" customHeight="1" x14ac:dyDescent="0.3">
      <c r="A1388" s="41">
        <v>45971</v>
      </c>
      <c r="B1388" s="42">
        <v>3918.5</v>
      </c>
      <c r="C1388" s="42">
        <v>25574.349609375</v>
      </c>
      <c r="D1388" s="289">
        <f t="shared" si="42"/>
        <v>3.2185728871263058E-3</v>
      </c>
      <c r="E1388" s="289">
        <f t="shared" si="43"/>
        <v>9.2723760463618802E-3</v>
      </c>
      <c r="F1388" s="14"/>
      <c r="G1388" s="14"/>
    </row>
    <row r="1389" spans="1:7" ht="14.25" customHeight="1" x14ac:dyDescent="0.3">
      <c r="A1389" s="41">
        <v>45972</v>
      </c>
      <c r="B1389" s="42">
        <v>3955</v>
      </c>
      <c r="C1389" s="42">
        <v>25694.94921875</v>
      </c>
      <c r="D1389" s="289">
        <f t="shared" si="42"/>
        <v>4.7156471705849679E-3</v>
      </c>
      <c r="E1389" s="289">
        <f t="shared" si="43"/>
        <v>9.3147888222534139E-3</v>
      </c>
      <c r="F1389" s="14"/>
      <c r="G1389" s="14"/>
    </row>
    <row r="1390" spans="1:7" ht="14.25" customHeight="1" x14ac:dyDescent="0.3">
      <c r="A1390" s="41">
        <v>45973</v>
      </c>
      <c r="B1390" s="42">
        <v>3954.60009765625</v>
      </c>
      <c r="C1390" s="42">
        <v>25875.80078125</v>
      </c>
      <c r="D1390" s="289">
        <f t="shared" si="42"/>
        <v>7.0384090258497119E-3</v>
      </c>
      <c r="E1390" s="289">
        <f t="shared" si="43"/>
        <v>-1.0111310840707965E-4</v>
      </c>
      <c r="F1390" s="14"/>
      <c r="G1390" s="14"/>
    </row>
    <row r="1391" spans="1:7" ht="14.25" customHeight="1" x14ac:dyDescent="0.3">
      <c r="A1391" s="41">
        <v>45974</v>
      </c>
      <c r="B1391" s="42">
        <v>4002.5</v>
      </c>
      <c r="C1391" s="42">
        <v>25879.150390625</v>
      </c>
      <c r="D1391" s="289">
        <f t="shared" si="42"/>
        <v>1.2944949620369539E-4</v>
      </c>
      <c r="E1391" s="289">
        <f t="shared" si="43"/>
        <v>1.2112451616065695E-2</v>
      </c>
      <c r="F1391" s="14"/>
      <c r="G1391" s="14"/>
    </row>
    <row r="1392" spans="1:7" ht="14.25" customHeight="1" x14ac:dyDescent="0.3">
      <c r="A1392" s="41">
        <v>45975</v>
      </c>
      <c r="B1392" s="42">
        <v>4004.39990234375</v>
      </c>
      <c r="C1392" s="42">
        <v>25910.05078125</v>
      </c>
      <c r="D1392" s="289">
        <f t="shared" si="42"/>
        <v>1.1940264714483827E-3</v>
      </c>
      <c r="E1392" s="289">
        <f t="shared" si="43"/>
        <v>4.746789116177389E-4</v>
      </c>
      <c r="F1392" s="14"/>
      <c r="G1392" s="14"/>
    </row>
    <row r="1393" spans="1:7" ht="14.25" customHeight="1" x14ac:dyDescent="0.3">
      <c r="A1393" s="41">
        <v>45978</v>
      </c>
      <c r="B1393" s="42">
        <v>4027.69995117188</v>
      </c>
      <c r="C1393" s="42">
        <v>26013.44921875</v>
      </c>
      <c r="D1393" s="289">
        <f t="shared" si="42"/>
        <v>3.9906690408659891E-3</v>
      </c>
      <c r="E1393" s="289">
        <f t="shared" si="43"/>
        <v>5.8186118760248269E-3</v>
      </c>
      <c r="F1393" s="14"/>
      <c r="G1393" s="14"/>
    </row>
    <row r="1394" spans="1:7" ht="14.25" customHeight="1" x14ac:dyDescent="0.3">
      <c r="A1394" s="41">
        <v>45979</v>
      </c>
      <c r="B1394" s="42">
        <v>3999.60009765625</v>
      </c>
      <c r="C1394" s="42">
        <v>25910.05078125</v>
      </c>
      <c r="D1394" s="289">
        <f t="shared" si="42"/>
        <v>-3.974806902018682E-3</v>
      </c>
      <c r="E1394" s="289">
        <f t="shared" si="43"/>
        <v>-6.9766501617018924E-3</v>
      </c>
      <c r="F1394" s="14"/>
      <c r="G1394" s="14"/>
    </row>
    <row r="1395" spans="1:7" ht="14.25" customHeight="1" x14ac:dyDescent="0.3">
      <c r="A1395" s="41">
        <v>45980</v>
      </c>
      <c r="B1395" s="42">
        <v>4019.60009765625</v>
      </c>
      <c r="C1395" s="42">
        <v>26052.650390625</v>
      </c>
      <c r="D1395" s="289">
        <f t="shared" si="42"/>
        <v>5.503640675154263E-3</v>
      </c>
      <c r="E1395" s="289">
        <f t="shared" si="43"/>
        <v>5.0004999279102732E-3</v>
      </c>
      <c r="F1395" s="14"/>
      <c r="G1395" s="14"/>
    </row>
    <row r="1396" spans="1:7" ht="14.25" customHeight="1" x14ac:dyDescent="0.3">
      <c r="A1396" s="41">
        <v>45981</v>
      </c>
      <c r="B1396" s="42">
        <v>4037.39990234375</v>
      </c>
      <c r="C1396" s="42">
        <v>26192.150390625</v>
      </c>
      <c r="D1396" s="289">
        <f t="shared" si="42"/>
        <v>5.3545415882216276E-3</v>
      </c>
      <c r="E1396" s="289">
        <f t="shared" si="43"/>
        <v>4.4282526258964706E-3</v>
      </c>
      <c r="F1396" s="14"/>
      <c r="G1396" s="14"/>
    </row>
    <row r="1397" spans="1:7" ht="14.25" customHeight="1" x14ac:dyDescent="0.3">
      <c r="A1397" s="41">
        <v>45982</v>
      </c>
      <c r="B1397" s="42">
        <v>4024.89990234375</v>
      </c>
      <c r="C1397" s="42">
        <v>26068.150390625</v>
      </c>
      <c r="D1397" s="289">
        <f t="shared" si="42"/>
        <v>-4.7342428227803521E-3</v>
      </c>
      <c r="E1397" s="289">
        <f t="shared" si="43"/>
        <v>-3.0960519894855172E-3</v>
      </c>
      <c r="F1397" s="14"/>
      <c r="G1397" s="14"/>
    </row>
    <row r="1398" spans="1:7" ht="14.25" customHeight="1" x14ac:dyDescent="0.3">
      <c r="A1398" s="41">
        <v>45985</v>
      </c>
      <c r="B1398" s="42">
        <v>4013.30004882813</v>
      </c>
      <c r="C1398" s="42">
        <v>25959.5</v>
      </c>
      <c r="D1398" s="289">
        <f t="shared" si="42"/>
        <v>-4.167936312968119E-3</v>
      </c>
      <c r="E1398" s="289">
        <f t="shared" si="43"/>
        <v>-2.8820228569821716E-3</v>
      </c>
      <c r="F1398" s="14"/>
      <c r="G1398" s="14"/>
    </row>
    <row r="1399" spans="1:7" ht="14.25" customHeight="1" x14ac:dyDescent="0.3">
      <c r="A1399" s="41">
        <v>45986</v>
      </c>
      <c r="B1399" s="42">
        <v>3996.69995117188</v>
      </c>
      <c r="C1399" s="42">
        <v>25884.80078125</v>
      </c>
      <c r="D1399" s="289">
        <f t="shared" si="42"/>
        <v>-2.8775291800689534E-3</v>
      </c>
      <c r="E1399" s="289">
        <f t="shared" si="43"/>
        <v>-4.1362712616259956E-3</v>
      </c>
      <c r="F1399" s="14"/>
      <c r="G1399" s="14"/>
    </row>
    <row r="1400" spans="1:7" ht="14.25" customHeight="1" x14ac:dyDescent="0.3">
      <c r="A1400" s="41">
        <v>45987</v>
      </c>
      <c r="B1400" s="42">
        <v>4062</v>
      </c>
      <c r="C1400" s="42">
        <v>26205.30078125</v>
      </c>
      <c r="D1400" s="289">
        <f t="shared" si="42"/>
        <v>1.2381783530362669E-2</v>
      </c>
      <c r="E1400" s="289">
        <f t="shared" si="43"/>
        <v>1.6338491662095687E-2</v>
      </c>
      <c r="F1400" s="14"/>
      <c r="G1400" s="14"/>
    </row>
    <row r="1401" spans="1:7" ht="14.25" customHeight="1" x14ac:dyDescent="0.3">
      <c r="A1401" s="41">
        <v>45988</v>
      </c>
      <c r="B1401" s="42">
        <v>4081.30004882813</v>
      </c>
      <c r="C1401" s="42">
        <v>26215.55078125</v>
      </c>
      <c r="D1401" s="289">
        <f t="shared" si="42"/>
        <v>3.9114223818922608E-4</v>
      </c>
      <c r="E1401" s="289">
        <f t="shared" si="43"/>
        <v>4.7513660335130482E-3</v>
      </c>
      <c r="F1401" s="14"/>
      <c r="G1401" s="14"/>
    </row>
    <row r="1402" spans="1:7" ht="14.25" customHeight="1" x14ac:dyDescent="0.3">
      <c r="A1402" s="41">
        <v>45989</v>
      </c>
      <c r="B1402" s="42">
        <v>4069.60009765625</v>
      </c>
      <c r="C1402" s="42">
        <v>26202.94921875</v>
      </c>
      <c r="D1402" s="289">
        <f t="shared" si="42"/>
        <v>-4.8069035837358583E-4</v>
      </c>
      <c r="E1402" s="289">
        <f t="shared" si="43"/>
        <v>-2.8667216406300308E-3</v>
      </c>
      <c r="F1402" s="14"/>
      <c r="G1402" s="14"/>
    </row>
    <row r="1403" spans="1:7" ht="14.25" customHeight="1" x14ac:dyDescent="0.3">
      <c r="A1403" s="41">
        <v>45992</v>
      </c>
      <c r="B1403" s="42">
        <v>4073.19995117188</v>
      </c>
      <c r="C1403" s="42">
        <v>26175.75</v>
      </c>
      <c r="D1403" s="289">
        <f t="shared" si="42"/>
        <v>-1.0380212747402153E-3</v>
      </c>
      <c r="E1403" s="289">
        <f t="shared" si="43"/>
        <v>8.8457180785483501E-4</v>
      </c>
      <c r="F1403" s="14"/>
      <c r="G1403" s="14"/>
    </row>
    <row r="1404" spans="1:7" ht="14.25" customHeight="1" x14ac:dyDescent="0.3">
      <c r="A1404" s="41">
        <v>45993</v>
      </c>
      <c r="B1404" s="42">
        <v>4030.5</v>
      </c>
      <c r="C1404" s="42">
        <v>26032.19921875</v>
      </c>
      <c r="D1404" s="289">
        <f t="shared" si="42"/>
        <v>-5.4841133969418263E-3</v>
      </c>
      <c r="E1404" s="289">
        <f t="shared" si="43"/>
        <v>-1.0483146342863677E-2</v>
      </c>
      <c r="F1404" s="14"/>
      <c r="G1404" s="14"/>
    </row>
    <row r="1405" spans="1:7" ht="14.25" customHeight="1" x14ac:dyDescent="0.3">
      <c r="A1405" s="41">
        <v>45994</v>
      </c>
      <c r="B1405" s="42">
        <v>3988</v>
      </c>
      <c r="C1405" s="42">
        <v>25986</v>
      </c>
      <c r="D1405" s="289">
        <f t="shared" si="42"/>
        <v>-1.7746951904364832E-3</v>
      </c>
      <c r="E1405" s="289">
        <f t="shared" si="43"/>
        <v>-1.0544597444485796E-2</v>
      </c>
      <c r="F1405" s="14"/>
      <c r="G1405" s="14"/>
    </row>
    <row r="1406" spans="1:7" ht="14.25" customHeight="1" x14ac:dyDescent="0.3">
      <c r="A1406" s="41">
        <v>45995</v>
      </c>
      <c r="B1406" s="42">
        <v>3983.60009765625</v>
      </c>
      <c r="C1406" s="42">
        <v>26033.75</v>
      </c>
      <c r="D1406" s="289">
        <f t="shared" si="42"/>
        <v>1.8375278996382667E-3</v>
      </c>
      <c r="E1406" s="289">
        <f t="shared" si="43"/>
        <v>-1.103285442264293E-3</v>
      </c>
      <c r="F1406" s="14"/>
      <c r="G1406" s="14"/>
    </row>
    <row r="1407" spans="1:7" ht="14.25" customHeight="1" x14ac:dyDescent="0.3">
      <c r="A1407" s="41">
        <v>45996</v>
      </c>
      <c r="B1407" s="42">
        <v>4038.19995117188</v>
      </c>
      <c r="C1407" s="42">
        <v>26186.44921875</v>
      </c>
      <c r="D1407" s="289">
        <f t="shared" si="42"/>
        <v>5.8654330916598644E-3</v>
      </c>
      <c r="E1407" s="289">
        <f t="shared" si="43"/>
        <v>1.3706158293286972E-2</v>
      </c>
      <c r="F1407" s="14"/>
      <c r="G1407" s="14"/>
    </row>
    <row r="1408" spans="1:7" ht="14.25" customHeight="1" x14ac:dyDescent="0.3">
      <c r="A1408" s="41">
        <v>45999</v>
      </c>
      <c r="B1408" s="42">
        <v>3996.69995117188</v>
      </c>
      <c r="C1408" s="42">
        <v>25960.55078125</v>
      </c>
      <c r="D1408" s="289">
        <f t="shared" si="42"/>
        <v>-8.6265394598918129E-3</v>
      </c>
      <c r="E1408" s="289">
        <f t="shared" si="43"/>
        <v>-1.0276856149224795E-2</v>
      </c>
      <c r="F1408" s="14"/>
      <c r="G1408" s="14"/>
    </row>
    <row r="1409" spans="1:7" ht="14.25" customHeight="1" x14ac:dyDescent="0.3">
      <c r="A1409" s="41">
        <v>46000</v>
      </c>
      <c r="B1409" s="42">
        <v>3997.5</v>
      </c>
      <c r="C1409" s="42">
        <v>25839.650390625</v>
      </c>
      <c r="D1409" s="289">
        <f t="shared" si="42"/>
        <v>-4.6570811090926572E-3</v>
      </c>
      <c r="E1409" s="289">
        <f t="shared" si="43"/>
        <v>2.0017735579209891E-4</v>
      </c>
      <c r="F1409" s="14"/>
      <c r="G1409" s="14"/>
    </row>
    <row r="1410" spans="1:7" ht="14.25" customHeight="1" x14ac:dyDescent="0.3">
      <c r="A1410" s="41">
        <v>46001</v>
      </c>
      <c r="B1410" s="42">
        <v>3991.30004882813</v>
      </c>
      <c r="C1410" s="42">
        <v>25758</v>
      </c>
      <c r="D1410" s="289">
        <f t="shared" si="42"/>
        <v>-3.159887590995579E-3</v>
      </c>
      <c r="E1410" s="289">
        <f t="shared" si="43"/>
        <v>-1.5509571411807374E-3</v>
      </c>
      <c r="F1410" s="14"/>
      <c r="G1410" s="14"/>
    </row>
    <row r="1411" spans="1:7" ht="14.25" customHeight="1" x14ac:dyDescent="0.3">
      <c r="A1411" s="41">
        <v>46002</v>
      </c>
      <c r="B1411" s="42">
        <v>4003.89990234375</v>
      </c>
      <c r="C1411" s="42">
        <v>25898.55078125</v>
      </c>
      <c r="D1411" s="289">
        <f t="shared" ref="D1411:D1474" si="44">(C1411-C1410)/C1410</f>
        <v>5.4565875164997281E-3</v>
      </c>
      <c r="E1411" s="289">
        <f t="shared" ref="E1411:E1474" si="45">(B1411-B1410)/B1410</f>
        <v>3.1568294444110738E-3</v>
      </c>
      <c r="F1411" s="14"/>
      <c r="G1411" s="14"/>
    </row>
    <row r="1412" spans="1:7" ht="14.25" customHeight="1" x14ac:dyDescent="0.3">
      <c r="A1412" s="41">
        <v>46003</v>
      </c>
      <c r="B1412" s="42">
        <v>4074.10009765625</v>
      </c>
      <c r="C1412" s="42">
        <v>26046.94921875</v>
      </c>
      <c r="D1412" s="289">
        <f t="shared" si="44"/>
        <v>5.7299900196514974E-3</v>
      </c>
      <c r="E1412" s="289">
        <f t="shared" si="45"/>
        <v>1.7532954625415868E-2</v>
      </c>
      <c r="F1412" s="14"/>
      <c r="G1412" s="14"/>
    </row>
    <row r="1413" spans="1:7" ht="14.25" customHeight="1" x14ac:dyDescent="0.3">
      <c r="A1413" s="41">
        <v>46006</v>
      </c>
      <c r="B1413" s="42">
        <v>4092.30004882813</v>
      </c>
      <c r="C1413" s="42">
        <v>26027.30078125</v>
      </c>
      <c r="D1413" s="289">
        <f t="shared" si="44"/>
        <v>-7.5434698071496196E-4</v>
      </c>
      <c r="E1413" s="289">
        <f t="shared" si="45"/>
        <v>4.4672322072670913E-3</v>
      </c>
      <c r="F1413" s="14"/>
      <c r="G1413" s="14"/>
    </row>
    <row r="1414" spans="1:7" ht="14.25" customHeight="1" x14ac:dyDescent="0.3">
      <c r="A1414" s="41">
        <v>46007</v>
      </c>
      <c r="B1414" s="42">
        <v>4063.80004882813</v>
      </c>
      <c r="C1414" s="42">
        <v>25860.099609375</v>
      </c>
      <c r="D1414" s="289">
        <f t="shared" si="44"/>
        <v>-6.4240688375742476E-3</v>
      </c>
      <c r="E1414" s="289">
        <f t="shared" si="45"/>
        <v>-6.9642987219769607E-3</v>
      </c>
      <c r="F1414" s="14"/>
      <c r="G1414" s="14"/>
    </row>
    <row r="1415" spans="1:7" ht="14.25" customHeight="1" x14ac:dyDescent="0.3">
      <c r="A1415" s="41">
        <v>46008</v>
      </c>
      <c r="B1415" s="42">
        <v>4062.39990234375</v>
      </c>
      <c r="C1415" s="42">
        <v>25818.55078125</v>
      </c>
      <c r="D1415" s="289">
        <f t="shared" si="44"/>
        <v>-1.6066770334456639E-3</v>
      </c>
      <c r="E1415" s="289">
        <f t="shared" si="45"/>
        <v>-3.4454118498860681E-4</v>
      </c>
      <c r="F1415" s="14"/>
      <c r="G1415" s="14"/>
    </row>
    <row r="1416" spans="1:7" ht="14.25" customHeight="1" x14ac:dyDescent="0.3">
      <c r="A1416" s="41">
        <v>46009</v>
      </c>
      <c r="B1416" s="42">
        <v>4031.10009765625</v>
      </c>
      <c r="C1416" s="42">
        <v>25815.55078125</v>
      </c>
      <c r="D1416" s="289">
        <f t="shared" si="44"/>
        <v>-1.1619552256893776E-4</v>
      </c>
      <c r="E1416" s="289">
        <f t="shared" si="45"/>
        <v>-7.7047571484633939E-3</v>
      </c>
      <c r="F1416" s="14"/>
      <c r="G1416" s="14"/>
    </row>
    <row r="1417" spans="1:7" ht="14.25" customHeight="1" x14ac:dyDescent="0.3">
      <c r="A1417" s="41">
        <v>46010</v>
      </c>
      <c r="B1417" s="42">
        <v>4073.5</v>
      </c>
      <c r="C1417" s="42">
        <v>25966.400390625</v>
      </c>
      <c r="D1417" s="289">
        <f t="shared" si="44"/>
        <v>5.8433620360547577E-3</v>
      </c>
      <c r="E1417" s="289">
        <f t="shared" si="45"/>
        <v>1.0518196352504871E-2</v>
      </c>
      <c r="F1417" s="14"/>
      <c r="G1417" s="14"/>
    </row>
    <row r="1418" spans="1:7" ht="14.25" customHeight="1" x14ac:dyDescent="0.3">
      <c r="A1418" s="41">
        <v>46013</v>
      </c>
      <c r="B1418" s="42">
        <v>4072.39990234375</v>
      </c>
      <c r="C1418" s="42">
        <v>26172.400390625</v>
      </c>
      <c r="D1418" s="289">
        <f t="shared" si="44"/>
        <v>7.9333291061157232E-3</v>
      </c>
      <c r="E1418" s="289">
        <f t="shared" si="45"/>
        <v>-2.7006202436479686E-4</v>
      </c>
      <c r="F1418" s="14"/>
      <c r="G1418" s="14"/>
    </row>
    <row r="1419" spans="1:7" ht="14.25" customHeight="1" x14ac:dyDescent="0.3">
      <c r="A1419" s="41">
        <v>46014</v>
      </c>
      <c r="B1419" s="42">
        <v>4058.80004882813</v>
      </c>
      <c r="C1419" s="42">
        <v>26177.150390625</v>
      </c>
      <c r="D1419" s="289">
        <f t="shared" si="44"/>
        <v>1.814888939916057E-4</v>
      </c>
      <c r="E1419" s="289">
        <f t="shared" si="45"/>
        <v>-3.339518181353703E-3</v>
      </c>
      <c r="F1419" s="14"/>
      <c r="G1419" s="14"/>
    </row>
    <row r="1420" spans="1:7" ht="14.25" customHeight="1" x14ac:dyDescent="0.3">
      <c r="A1420" s="41">
        <v>46015</v>
      </c>
      <c r="B1420" s="42">
        <v>4053.60009765625</v>
      </c>
      <c r="C1420" s="42">
        <v>26142.099609375</v>
      </c>
      <c r="D1420" s="289">
        <f t="shared" si="44"/>
        <v>-1.3389838361685454E-3</v>
      </c>
      <c r="E1420" s="289">
        <f t="shared" si="45"/>
        <v>-1.2811548017452471E-3</v>
      </c>
      <c r="F1420" s="14"/>
      <c r="G1420" s="14"/>
    </row>
    <row r="1421" spans="1:7" ht="14.25" customHeight="1" x14ac:dyDescent="0.3">
      <c r="A1421" s="41">
        <v>46017</v>
      </c>
      <c r="B1421" s="42">
        <v>4047.30004882813</v>
      </c>
      <c r="C1421" s="42">
        <v>26042.30078125</v>
      </c>
      <c r="D1421" s="289">
        <f t="shared" si="44"/>
        <v>-3.8175521330050493E-3</v>
      </c>
      <c r="E1421" s="289">
        <f t="shared" si="45"/>
        <v>-1.5541860756719988E-3</v>
      </c>
      <c r="F1421" s="14"/>
      <c r="G1421" s="14"/>
    </row>
    <row r="1422" spans="1:7" ht="14.25" customHeight="1" x14ac:dyDescent="0.3">
      <c r="A1422" s="41">
        <v>46020</v>
      </c>
      <c r="B1422" s="42">
        <v>4038.69995117188</v>
      </c>
      <c r="C1422" s="42">
        <v>25942.099609375</v>
      </c>
      <c r="D1422" s="289">
        <f t="shared" si="44"/>
        <v>-3.8476313101775974E-3</v>
      </c>
      <c r="E1422" s="289">
        <f t="shared" si="45"/>
        <v>-2.1248974754763004E-3</v>
      </c>
      <c r="F1422" s="14"/>
      <c r="G1422" s="14"/>
    </row>
    <row r="1423" spans="1:7" ht="14.25" customHeight="1" x14ac:dyDescent="0.3">
      <c r="A1423" s="41">
        <v>46021</v>
      </c>
      <c r="B1423" s="42">
        <v>4052</v>
      </c>
      <c r="C1423" s="42">
        <v>25938.849609375</v>
      </c>
      <c r="D1423" s="289">
        <f t="shared" si="44"/>
        <v>-1.2527898855285829E-4</v>
      </c>
      <c r="E1423" s="289">
        <f t="shared" si="45"/>
        <v>3.2931510111962685E-3</v>
      </c>
      <c r="F1423" s="14"/>
      <c r="G1423" s="14"/>
    </row>
    <row r="1424" spans="1:7" ht="14.25" customHeight="1" x14ac:dyDescent="0.3">
      <c r="A1424" s="41">
        <v>46022</v>
      </c>
      <c r="B1424" s="42">
        <v>4083.5</v>
      </c>
      <c r="C1424" s="42">
        <v>26129.599609375</v>
      </c>
      <c r="D1424" s="289">
        <f t="shared" si="44"/>
        <v>7.353834224439075E-3</v>
      </c>
      <c r="E1424" s="289">
        <f t="shared" si="45"/>
        <v>7.7739387956564663E-3</v>
      </c>
      <c r="F1424" s="14"/>
      <c r="G1424" s="14"/>
    </row>
    <row r="1425" spans="1:7" ht="14.25" customHeight="1" x14ac:dyDescent="0.3">
      <c r="A1425" s="41">
        <v>46023</v>
      </c>
      <c r="B1425" s="42">
        <v>4140.39990234375</v>
      </c>
      <c r="C1425" s="42">
        <v>26146.55078125</v>
      </c>
      <c r="D1425" s="289">
        <f t="shared" si="44"/>
        <v>6.4873446698043217E-4</v>
      </c>
      <c r="E1425" s="289">
        <f t="shared" si="45"/>
        <v>1.3934101222909268E-2</v>
      </c>
      <c r="F1425" s="14"/>
      <c r="G1425" s="14"/>
    </row>
    <row r="1426" spans="1:7" ht="14.25" customHeight="1" x14ac:dyDescent="0.3">
      <c r="A1426" s="41">
        <v>46024</v>
      </c>
      <c r="B1426" s="42">
        <v>4163.39990234375</v>
      </c>
      <c r="C1426" s="42">
        <v>26328.55078125</v>
      </c>
      <c r="D1426" s="289">
        <f t="shared" si="44"/>
        <v>6.9607651702386052E-3</v>
      </c>
      <c r="E1426" s="289">
        <f t="shared" si="45"/>
        <v>5.555018969781258E-3</v>
      </c>
      <c r="F1426" s="14"/>
      <c r="G1426" s="14"/>
    </row>
    <row r="1427" spans="1:7" ht="14.25" customHeight="1" x14ac:dyDescent="0.3">
      <c r="A1427" s="41">
        <v>46027</v>
      </c>
      <c r="B1427" s="42">
        <v>4150.39990234375</v>
      </c>
      <c r="C1427" s="42">
        <v>26250.30078125</v>
      </c>
      <c r="D1427" s="289">
        <f t="shared" si="44"/>
        <v>-2.9720587604740519E-3</v>
      </c>
      <c r="E1427" s="289">
        <f t="shared" si="45"/>
        <v>-3.1224480724711943E-3</v>
      </c>
      <c r="F1427" s="14"/>
      <c r="G1427" s="14"/>
    </row>
    <row r="1428" spans="1:7" ht="14.25" customHeight="1" x14ac:dyDescent="0.3">
      <c r="A1428" s="41">
        <v>46028</v>
      </c>
      <c r="B1428" s="42">
        <v>4140.60009765625</v>
      </c>
      <c r="C1428" s="42">
        <v>26178.69921875</v>
      </c>
      <c r="D1428" s="289">
        <f t="shared" si="44"/>
        <v>-2.7276473171363958E-3</v>
      </c>
      <c r="E1428" s="289">
        <f t="shared" si="45"/>
        <v>-2.3611711926761576E-3</v>
      </c>
      <c r="F1428" s="14"/>
      <c r="G1428" s="14"/>
    </row>
    <row r="1429" spans="1:7" ht="14.25" customHeight="1" x14ac:dyDescent="0.3">
      <c r="A1429" s="41">
        <v>46029</v>
      </c>
      <c r="B1429" s="42">
        <v>4157</v>
      </c>
      <c r="C1429" s="42">
        <v>26140.75</v>
      </c>
      <c r="D1429" s="289">
        <f t="shared" si="44"/>
        <v>-1.4496220164682432E-3</v>
      </c>
      <c r="E1429" s="289">
        <f t="shared" si="45"/>
        <v>3.9607549526536065E-3</v>
      </c>
      <c r="F1429" s="14"/>
      <c r="G1429" s="14"/>
    </row>
    <row r="1430" spans="1:7" ht="14.25" customHeight="1" x14ac:dyDescent="0.3">
      <c r="A1430" s="41">
        <v>46030</v>
      </c>
      <c r="B1430" s="42">
        <v>4028.39990234375</v>
      </c>
      <c r="C1430" s="42">
        <v>25876.849609375</v>
      </c>
      <c r="D1430" s="289">
        <f t="shared" si="44"/>
        <v>-1.0095364158449929E-2</v>
      </c>
      <c r="E1430" s="289">
        <f t="shared" si="45"/>
        <v>-3.0935794480695212E-2</v>
      </c>
      <c r="F1430" s="14"/>
      <c r="G1430" s="14"/>
    </row>
    <row r="1431" spans="1:7" ht="14.25" customHeight="1" x14ac:dyDescent="0.3">
      <c r="A1431" s="41">
        <v>46031</v>
      </c>
      <c r="B1431" s="42">
        <v>4025.19995117188</v>
      </c>
      <c r="C1431" s="42">
        <v>25683.30078125</v>
      </c>
      <c r="D1431" s="289">
        <f t="shared" si="44"/>
        <v>-7.4796132854935563E-3</v>
      </c>
      <c r="E1431" s="289">
        <f t="shared" si="45"/>
        <v>-7.9434794197275321E-4</v>
      </c>
      <c r="F1431" s="14"/>
      <c r="G1431" s="14"/>
    </row>
    <row r="1432" spans="1:7" ht="14.25" customHeight="1" x14ac:dyDescent="0.3">
      <c r="A1432" s="41">
        <v>46034</v>
      </c>
      <c r="B1432" s="42">
        <v>4019</v>
      </c>
      <c r="C1432" s="42">
        <v>25790.25</v>
      </c>
      <c r="D1432" s="289">
        <f t="shared" si="44"/>
        <v>4.1641539637334267E-3</v>
      </c>
      <c r="E1432" s="289">
        <f t="shared" si="45"/>
        <v>-1.5402840224309786E-3</v>
      </c>
      <c r="F1432" s="14"/>
      <c r="G1432" s="14"/>
    </row>
    <row r="1433" spans="1:7" ht="14.25" customHeight="1" x14ac:dyDescent="0.3">
      <c r="A1433" s="41">
        <v>46035</v>
      </c>
      <c r="B1433" s="42">
        <v>3887.39990234375</v>
      </c>
      <c r="C1433" s="42">
        <v>25732.30078125</v>
      </c>
      <c r="D1433" s="289">
        <f t="shared" si="44"/>
        <v>-2.2469428853927357E-3</v>
      </c>
      <c r="E1433" s="289">
        <f t="shared" si="45"/>
        <v>-3.2744488095608364E-2</v>
      </c>
      <c r="F1433" s="14"/>
      <c r="G1433" s="14"/>
    </row>
    <row r="1434" spans="1:7" ht="14.25" customHeight="1" x14ac:dyDescent="0.3">
      <c r="A1434" s="41">
        <v>46036</v>
      </c>
      <c r="B1434" s="42">
        <v>3865.80004882813</v>
      </c>
      <c r="C1434" s="42">
        <v>25665.599609375</v>
      </c>
      <c r="D1434" s="289">
        <f t="shared" si="44"/>
        <v>-2.5921184600641006E-3</v>
      </c>
      <c r="E1434" s="289">
        <f t="shared" si="45"/>
        <v>-5.5563754844458486E-3</v>
      </c>
      <c r="F1434" s="14"/>
      <c r="G1434" s="14"/>
    </row>
    <row r="1435" spans="1:7" ht="14.25" customHeight="1" x14ac:dyDescent="0.3">
      <c r="A1435" s="41">
        <v>46038</v>
      </c>
      <c r="B1435" s="42">
        <v>3856.39990234375</v>
      </c>
      <c r="C1435" s="42">
        <v>25694.349609375</v>
      </c>
      <c r="D1435" s="289">
        <f t="shared" si="44"/>
        <v>1.1201764399651254E-3</v>
      </c>
      <c r="E1435" s="289">
        <f t="shared" si="45"/>
        <v>-2.4316173536263318E-3</v>
      </c>
      <c r="F1435" s="14"/>
      <c r="G1435" s="14"/>
    </row>
    <row r="1436" spans="1:7" ht="14.25" customHeight="1" x14ac:dyDescent="0.3">
      <c r="A1436" s="41">
        <v>46041</v>
      </c>
      <c r="B1436" s="42">
        <v>3869.80004882813</v>
      </c>
      <c r="C1436" s="42">
        <v>25585.5</v>
      </c>
      <c r="D1436" s="289">
        <f t="shared" si="44"/>
        <v>-4.2363247573810724E-3</v>
      </c>
      <c r="E1436" s="289">
        <f t="shared" si="45"/>
        <v>3.4747813566316042E-3</v>
      </c>
      <c r="F1436" s="14"/>
      <c r="G1436" s="14"/>
    </row>
    <row r="1437" spans="1:7" ht="14.25" customHeight="1" x14ac:dyDescent="0.3">
      <c r="A1437" s="41">
        <v>46042</v>
      </c>
      <c r="B1437" s="42">
        <v>3810.5</v>
      </c>
      <c r="C1437" s="42">
        <v>25232.5</v>
      </c>
      <c r="D1437" s="289">
        <f t="shared" si="44"/>
        <v>-1.3796877137441129E-2</v>
      </c>
      <c r="E1437" s="289">
        <f t="shared" si="45"/>
        <v>-1.5323801767506697E-2</v>
      </c>
      <c r="F1437" s="14"/>
      <c r="G1437" s="14"/>
    </row>
    <row r="1438" spans="1:7" ht="14.25" customHeight="1" x14ac:dyDescent="0.3">
      <c r="A1438" s="41">
        <v>46043</v>
      </c>
      <c r="B1438" s="42">
        <v>3766.5</v>
      </c>
      <c r="C1438" s="42">
        <v>25157.5</v>
      </c>
      <c r="D1438" s="289">
        <f t="shared" si="44"/>
        <v>-2.9723570791637768E-3</v>
      </c>
      <c r="E1438" s="289">
        <f t="shared" si="45"/>
        <v>-1.1547041070725626E-2</v>
      </c>
      <c r="F1438" s="14"/>
      <c r="G1438" s="14"/>
    </row>
    <row r="1439" spans="1:7" ht="14.25" customHeight="1" x14ac:dyDescent="0.3">
      <c r="A1439" s="41">
        <v>46044</v>
      </c>
      <c r="B1439" s="42">
        <v>3793.80004882813</v>
      </c>
      <c r="C1439" s="42">
        <v>25289.900390625</v>
      </c>
      <c r="D1439" s="289">
        <f t="shared" si="44"/>
        <v>5.2628596094603996E-3</v>
      </c>
      <c r="E1439" s="289">
        <f t="shared" si="45"/>
        <v>7.2481212871711147E-3</v>
      </c>
      <c r="F1439" s="14"/>
      <c r="G1439" s="14"/>
    </row>
    <row r="1440" spans="1:7" ht="14.25" customHeight="1" x14ac:dyDescent="0.3">
      <c r="A1440" s="41">
        <v>46045</v>
      </c>
      <c r="B1440" s="42">
        <v>3743.80004882813</v>
      </c>
      <c r="C1440" s="42">
        <v>25048.650390625</v>
      </c>
      <c r="D1440" s="289">
        <f t="shared" si="44"/>
        <v>-9.5393811867061241E-3</v>
      </c>
      <c r="E1440" s="289">
        <f t="shared" si="45"/>
        <v>-1.3179397795475421E-2</v>
      </c>
      <c r="F1440" s="14"/>
      <c r="G1440" s="14"/>
    </row>
    <row r="1441" spans="1:7" ht="14.25" customHeight="1" x14ac:dyDescent="0.3">
      <c r="A1441" s="41">
        <v>46049</v>
      </c>
      <c r="B1441" s="42">
        <v>3787.80004882813</v>
      </c>
      <c r="C1441" s="42">
        <v>25175.400390625</v>
      </c>
      <c r="D1441" s="289">
        <f t="shared" si="44"/>
        <v>5.0601528634628126E-3</v>
      </c>
      <c r="E1441" s="289">
        <f t="shared" si="45"/>
        <v>1.1752764417472753E-2</v>
      </c>
      <c r="F1441" s="14"/>
      <c r="G1441" s="14"/>
    </row>
    <row r="1442" spans="1:7" ht="14.25" customHeight="1" x14ac:dyDescent="0.3">
      <c r="A1442" s="41">
        <v>46050</v>
      </c>
      <c r="B1442" s="42">
        <v>3794</v>
      </c>
      <c r="C1442" s="42">
        <v>25342.75</v>
      </c>
      <c r="D1442" s="289">
        <f t="shared" si="44"/>
        <v>6.6473464881741809E-3</v>
      </c>
      <c r="E1442" s="289">
        <f t="shared" si="45"/>
        <v>1.6368211341536202E-3</v>
      </c>
      <c r="F1442" s="14"/>
      <c r="G1442" s="14"/>
    </row>
    <row r="1443" spans="1:7" ht="14.25" customHeight="1" x14ac:dyDescent="0.3">
      <c r="A1443" s="41">
        <v>46051</v>
      </c>
      <c r="B1443" s="42">
        <v>3932.89990234375</v>
      </c>
      <c r="C1443" s="42">
        <v>25418.900390625</v>
      </c>
      <c r="D1443" s="289">
        <f t="shared" si="44"/>
        <v>3.004819548983437E-3</v>
      </c>
      <c r="E1443" s="289">
        <f t="shared" si="45"/>
        <v>3.6610411793292039E-2</v>
      </c>
      <c r="F1443" s="14"/>
      <c r="G1443" s="14"/>
    </row>
    <row r="1444" spans="1:7" ht="14.25" customHeight="1" x14ac:dyDescent="0.3">
      <c r="A1444" s="41">
        <v>46052</v>
      </c>
      <c r="B1444" s="42">
        <v>3932.30004882813</v>
      </c>
      <c r="C1444" s="42">
        <v>25320.650390625</v>
      </c>
      <c r="D1444" s="289">
        <f t="shared" si="44"/>
        <v>-3.8652340774047241E-3</v>
      </c>
      <c r="E1444" s="289">
        <f t="shared" si="45"/>
        <v>-1.5252193814099476E-4</v>
      </c>
      <c r="F1444" s="14"/>
      <c r="G1444" s="14"/>
    </row>
    <row r="1445" spans="1:7" ht="14.25" customHeight="1" x14ac:dyDescent="0.3">
      <c r="A1445" s="41">
        <v>46055</v>
      </c>
      <c r="B1445" s="42">
        <v>3921.30004882813</v>
      </c>
      <c r="C1445" s="42">
        <v>25088.400390625</v>
      </c>
      <c r="D1445" s="289">
        <f t="shared" si="44"/>
        <v>-9.1723552285209401E-3</v>
      </c>
      <c r="E1445" s="289">
        <f t="shared" si="45"/>
        <v>-2.7973450304938263E-3</v>
      </c>
      <c r="F1445" s="14"/>
      <c r="G1445" s="14"/>
    </row>
    <row r="1446" spans="1:7" ht="14.25" customHeight="1" x14ac:dyDescent="0.3">
      <c r="A1446" s="41">
        <v>46056</v>
      </c>
      <c r="B1446" s="42">
        <v>4038.80004882813</v>
      </c>
      <c r="C1446" s="42">
        <v>25727.55078125</v>
      </c>
      <c r="D1446" s="289">
        <f t="shared" si="44"/>
        <v>2.5475932330218904E-2</v>
      </c>
      <c r="E1446" s="289">
        <f t="shared" si="45"/>
        <v>2.9964552198731786E-2</v>
      </c>
      <c r="F1446" s="14"/>
      <c r="G1446" s="14"/>
    </row>
    <row r="1447" spans="1:7" ht="14.25" customHeight="1" x14ac:dyDescent="0.3">
      <c r="A1447" s="41">
        <v>46057</v>
      </c>
      <c r="B1447" s="42">
        <v>4087.10009765625</v>
      </c>
      <c r="C1447" s="42">
        <v>25776</v>
      </c>
      <c r="D1447" s="289">
        <f t="shared" si="44"/>
        <v>1.8831648283174059E-3</v>
      </c>
      <c r="E1447" s="289">
        <f t="shared" si="45"/>
        <v>1.1959009667273427E-2</v>
      </c>
      <c r="F1447" s="14"/>
      <c r="G1447" s="14"/>
    </row>
    <row r="1448" spans="1:7" ht="14.25" customHeight="1" x14ac:dyDescent="0.3">
      <c r="A1448" s="41">
        <v>46058</v>
      </c>
      <c r="B1448" s="42">
        <v>4063.30004882813</v>
      </c>
      <c r="C1448" s="42">
        <v>25642.80078125</v>
      </c>
      <c r="D1448" s="289">
        <f t="shared" si="44"/>
        <v>-5.1675674561607694E-3</v>
      </c>
      <c r="E1448" s="289">
        <f t="shared" si="45"/>
        <v>-5.8232116315840047E-3</v>
      </c>
      <c r="F1448" s="14"/>
      <c r="G1448" s="14"/>
    </row>
    <row r="1449" spans="1:7" ht="14.25" customHeight="1" x14ac:dyDescent="0.3">
      <c r="A1449" s="41">
        <v>46059</v>
      </c>
      <c r="B1449" s="42">
        <v>4068.10009765625</v>
      </c>
      <c r="C1449" s="42">
        <v>25693.69921875</v>
      </c>
      <c r="D1449" s="289">
        <f t="shared" si="44"/>
        <v>1.9849016468285676E-3</v>
      </c>
      <c r="E1449" s="289">
        <f t="shared" si="45"/>
        <v>1.1813178378260174E-3</v>
      </c>
      <c r="F1449" s="14"/>
      <c r="G1449" s="14"/>
    </row>
    <row r="1450" spans="1:7" ht="14.25" customHeight="1" x14ac:dyDescent="0.3">
      <c r="A1450" s="41">
        <v>46062</v>
      </c>
      <c r="B1450" s="42">
        <v>4113.60009765625</v>
      </c>
      <c r="C1450" s="42">
        <v>25867.30078125</v>
      </c>
      <c r="D1450" s="289">
        <f t="shared" si="44"/>
        <v>6.7565810988132885E-3</v>
      </c>
      <c r="E1450" s="289">
        <f t="shared" si="45"/>
        <v>1.118458221473308E-2</v>
      </c>
      <c r="F1450" s="14"/>
      <c r="G1450" s="14"/>
    </row>
    <row r="1451" spans="1:7" ht="14.25" customHeight="1" x14ac:dyDescent="0.3">
      <c r="A1451" s="41">
        <v>46063</v>
      </c>
      <c r="B1451" s="42">
        <v>4169</v>
      </c>
      <c r="C1451" s="42">
        <v>25935.150390625</v>
      </c>
      <c r="D1451" s="289">
        <f t="shared" si="44"/>
        <v>2.6229876069706129E-3</v>
      </c>
      <c r="E1451" s="289">
        <f t="shared" si="45"/>
        <v>1.3467498305271445E-2</v>
      </c>
      <c r="F1451" s="14"/>
      <c r="G1451" s="14"/>
    </row>
    <row r="1452" spans="1:7" ht="14.25" customHeight="1" x14ac:dyDescent="0.3">
      <c r="A1452" s="41">
        <v>46064</v>
      </c>
      <c r="B1452" s="42">
        <v>4170.39990234375</v>
      </c>
      <c r="C1452" s="42">
        <v>25953.849609375</v>
      </c>
      <c r="D1452" s="289">
        <f t="shared" si="44"/>
        <v>7.2099904833246569E-4</v>
      </c>
      <c r="E1452" s="289">
        <f t="shared" si="45"/>
        <v>3.3578852092828017E-4</v>
      </c>
      <c r="F1452" s="14"/>
      <c r="G1452" s="14"/>
    </row>
    <row r="1453" spans="1:7" ht="14.25" customHeight="1" x14ac:dyDescent="0.3">
      <c r="A1453" s="41">
        <v>46065</v>
      </c>
      <c r="B1453" s="42">
        <v>4185.89990234375</v>
      </c>
      <c r="C1453" s="42">
        <v>25807.19921875</v>
      </c>
      <c r="D1453" s="289">
        <f t="shared" si="44"/>
        <v>-5.6504292362096155E-3</v>
      </c>
      <c r="E1453" s="289">
        <f t="shared" si="45"/>
        <v>3.7166699508335049E-3</v>
      </c>
      <c r="F1453" s="14"/>
      <c r="G1453" s="14"/>
    </row>
    <row r="1454" spans="1:7" ht="14.25" customHeight="1" x14ac:dyDescent="0.3">
      <c r="A1454" s="41">
        <v>46066</v>
      </c>
      <c r="B1454" s="42">
        <v>4173.89990234375</v>
      </c>
      <c r="C1454" s="42">
        <v>25471.099609375</v>
      </c>
      <c r="D1454" s="289">
        <f t="shared" si="44"/>
        <v>-1.3023482576552116E-2</v>
      </c>
      <c r="E1454" s="289">
        <f t="shared" si="45"/>
        <v>-2.8667670703929195E-3</v>
      </c>
      <c r="F1454" s="14"/>
      <c r="G1454" s="14"/>
    </row>
    <row r="1455" spans="1:7" ht="14.25" customHeight="1" x14ac:dyDescent="0.3">
      <c r="A1455" s="41">
        <v>46069</v>
      </c>
      <c r="B1455" s="42">
        <v>4201.5</v>
      </c>
      <c r="C1455" s="42">
        <v>25682.75</v>
      </c>
      <c r="D1455" s="289">
        <f t="shared" si="44"/>
        <v>8.3094328030933959E-3</v>
      </c>
      <c r="E1455" s="289">
        <f t="shared" si="45"/>
        <v>6.6125442157230095E-3</v>
      </c>
      <c r="F1455" s="14"/>
      <c r="G1455" s="14"/>
    </row>
    <row r="1456" spans="1:7" ht="14.25" customHeight="1" x14ac:dyDescent="0.3">
      <c r="A1456" s="41">
        <v>46070</v>
      </c>
      <c r="B1456" s="42">
        <v>4279.7998046875</v>
      </c>
      <c r="C1456" s="42">
        <v>25725.400390625</v>
      </c>
      <c r="D1456" s="289">
        <f t="shared" si="44"/>
        <v>1.6606629206373927E-3</v>
      </c>
      <c r="E1456" s="289">
        <f t="shared" si="45"/>
        <v>1.8636154870284423E-2</v>
      </c>
      <c r="F1456" s="14"/>
      <c r="G1456" s="14"/>
    </row>
    <row r="1457" spans="1:7" ht="14.25" customHeight="1" x14ac:dyDescent="0.3">
      <c r="A1457" s="41">
        <v>46071</v>
      </c>
      <c r="B1457" s="42">
        <v>4325.89990234375</v>
      </c>
      <c r="C1457" s="42">
        <v>25819.349609375</v>
      </c>
      <c r="D1457" s="289">
        <f t="shared" si="44"/>
        <v>3.6520021971839754E-3</v>
      </c>
      <c r="E1457" s="289">
        <f t="shared" si="45"/>
        <v>1.0771554689487657E-2</v>
      </c>
      <c r="F1457" s="14"/>
      <c r="G1457" s="14"/>
    </row>
    <row r="1458" spans="1:7" ht="14.25" customHeight="1" x14ac:dyDescent="0.3">
      <c r="A1458" s="41">
        <v>46072</v>
      </c>
      <c r="B1458" s="42">
        <v>4280.5</v>
      </c>
      <c r="C1458" s="42">
        <v>25454.349609375</v>
      </c>
      <c r="D1458" s="289">
        <f t="shared" si="44"/>
        <v>-1.4136684522350191E-2</v>
      </c>
      <c r="E1458" s="289">
        <f t="shared" si="45"/>
        <v>-1.049490357350908E-2</v>
      </c>
      <c r="F1458" s="14"/>
      <c r="G1458" s="14"/>
    </row>
    <row r="1459" spans="1:7" ht="14.25" customHeight="1" x14ac:dyDescent="0.3">
      <c r="A1459" s="41">
        <v>46073</v>
      </c>
      <c r="B1459" s="42">
        <v>4380.60009765625</v>
      </c>
      <c r="C1459" s="42">
        <v>25571.25</v>
      </c>
      <c r="D1459" s="289">
        <f t="shared" si="44"/>
        <v>4.5925506806877847E-3</v>
      </c>
      <c r="E1459" s="289">
        <f t="shared" si="45"/>
        <v>2.338514137513141E-2</v>
      </c>
      <c r="F1459" s="14"/>
      <c r="G1459" s="14"/>
    </row>
    <row r="1460" spans="1:7" ht="14.25" customHeight="1" x14ac:dyDescent="0.3">
      <c r="A1460" s="41">
        <v>46076</v>
      </c>
      <c r="B1460" s="42">
        <v>4418.10009765625</v>
      </c>
      <c r="C1460" s="42">
        <v>25713</v>
      </c>
      <c r="D1460" s="289">
        <f t="shared" si="44"/>
        <v>5.5433347998240208E-3</v>
      </c>
      <c r="E1460" s="289">
        <f t="shared" si="45"/>
        <v>8.5604709774954359E-3</v>
      </c>
      <c r="F1460" s="14"/>
      <c r="G1460" s="14"/>
    </row>
    <row r="1461" spans="1:7" ht="14.25" customHeight="1" x14ac:dyDescent="0.3">
      <c r="A1461" s="41">
        <v>46077</v>
      </c>
      <c r="B1461" s="42">
        <v>4259.2001953125</v>
      </c>
      <c r="C1461" s="42">
        <v>25424.650390625</v>
      </c>
      <c r="D1461" s="289">
        <f t="shared" si="44"/>
        <v>-1.1214156627970288E-2</v>
      </c>
      <c r="E1461" s="289">
        <f t="shared" si="45"/>
        <v>-3.5965663708715997E-2</v>
      </c>
      <c r="F1461" s="14"/>
      <c r="G1461" s="14"/>
    </row>
    <row r="1462" spans="1:7" ht="14.25" customHeight="1" x14ac:dyDescent="0.3">
      <c r="A1462" s="41">
        <v>46078</v>
      </c>
      <c r="B1462" s="42">
        <v>4298.5</v>
      </c>
      <c r="C1462" s="42">
        <v>25482.5</v>
      </c>
      <c r="D1462" s="289">
        <f t="shared" si="44"/>
        <v>2.2753354908011348E-3</v>
      </c>
      <c r="E1462" s="289">
        <f t="shared" si="45"/>
        <v>9.2270386188354672E-3</v>
      </c>
      <c r="F1462" s="14"/>
      <c r="G1462" s="14"/>
    </row>
    <row r="1463" spans="1:7" ht="14.25" customHeight="1" x14ac:dyDescent="0.3">
      <c r="A1463" s="41">
        <v>46079</v>
      </c>
      <c r="B1463" s="42">
        <v>4286.5</v>
      </c>
      <c r="C1463" s="42">
        <v>25496.55078125</v>
      </c>
      <c r="D1463" s="289">
        <f t="shared" si="44"/>
        <v>5.5138943392524285E-4</v>
      </c>
      <c r="E1463" s="289">
        <f t="shared" si="45"/>
        <v>-2.7916715133185993E-3</v>
      </c>
      <c r="F1463" s="14"/>
      <c r="G1463" s="14"/>
    </row>
    <row r="1464" spans="1:7" ht="14.25" customHeight="1" x14ac:dyDescent="0.3">
      <c r="A1464" s="41">
        <v>46080</v>
      </c>
      <c r="B1464" s="42">
        <v>4278.2998046875</v>
      </c>
      <c r="C1464" s="42">
        <v>25178.650390625</v>
      </c>
      <c r="D1464" s="289">
        <f t="shared" si="44"/>
        <v>-1.2468368500212268E-2</v>
      </c>
      <c r="E1464" s="289">
        <f t="shared" si="45"/>
        <v>-1.9130281844161904E-3</v>
      </c>
      <c r="F1464" s="14"/>
      <c r="G1464" s="14"/>
    </row>
    <row r="1465" spans="1:7" ht="14.25" customHeight="1" x14ac:dyDescent="0.3">
      <c r="A1465" s="41">
        <v>46083</v>
      </c>
      <c r="B1465" s="42">
        <v>4066.69995117188</v>
      </c>
      <c r="C1465" s="42">
        <v>24865.69921875</v>
      </c>
      <c r="D1465" s="289">
        <f t="shared" si="44"/>
        <v>-1.2429227421638295E-2</v>
      </c>
      <c r="E1465" s="289">
        <f t="shared" si="45"/>
        <v>-4.9458865244502402E-2</v>
      </c>
      <c r="F1465" s="14"/>
      <c r="G1465" s="14"/>
    </row>
    <row r="1466" spans="1:7" ht="14.25" customHeight="1" x14ac:dyDescent="0.3">
      <c r="A1466" s="41">
        <v>46085</v>
      </c>
      <c r="B1466" s="42">
        <v>3882.60009765625</v>
      </c>
      <c r="C1466" s="42">
        <v>24480.5</v>
      </c>
      <c r="D1466" s="289">
        <f t="shared" si="44"/>
        <v>-1.5491187895474108E-2</v>
      </c>
      <c r="E1466" s="289">
        <f t="shared" si="45"/>
        <v>-4.5270085259813402E-2</v>
      </c>
      <c r="F1466" s="14"/>
      <c r="G1466" s="14"/>
    </row>
    <row r="1467" spans="1:7" ht="14.25" customHeight="1" x14ac:dyDescent="0.3">
      <c r="A1467" s="41">
        <v>46086</v>
      </c>
      <c r="B1467" s="42">
        <v>4038.69995117188</v>
      </c>
      <c r="C1467" s="42">
        <v>24765.900390625</v>
      </c>
      <c r="D1467" s="289">
        <f t="shared" si="44"/>
        <v>1.165827457057658E-2</v>
      </c>
      <c r="E1467" s="289">
        <f t="shared" si="45"/>
        <v>4.0204978516808987E-2</v>
      </c>
      <c r="F1467" s="14"/>
      <c r="G1467" s="14"/>
    </row>
    <row r="1468" spans="1:7" ht="14.25" customHeight="1" x14ac:dyDescent="0.3">
      <c r="A1468" s="41">
        <v>46087</v>
      </c>
      <c r="B1468" s="42">
        <v>3949.80004882813</v>
      </c>
      <c r="C1468" s="42">
        <v>24450.44921875</v>
      </c>
      <c r="D1468" s="289">
        <f t="shared" si="44"/>
        <v>-1.273731893044407E-2</v>
      </c>
      <c r="E1468" s="289">
        <f t="shared" si="45"/>
        <v>-2.2012009661166971E-2</v>
      </c>
      <c r="F1468" s="14"/>
      <c r="G1468" s="14"/>
    </row>
    <row r="1469" spans="1:7" ht="14.25" customHeight="1" x14ac:dyDescent="0.3">
      <c r="A1469" s="41">
        <v>46090</v>
      </c>
      <c r="B1469" s="42">
        <v>3842.10009765625</v>
      </c>
      <c r="C1469" s="42">
        <v>24028.05078125</v>
      </c>
      <c r="D1469" s="289">
        <f t="shared" si="44"/>
        <v>-1.7275692308183883E-2</v>
      </c>
      <c r="E1469" s="289">
        <f t="shared" si="45"/>
        <v>-2.7267190703446773E-2</v>
      </c>
      <c r="F1469" s="14"/>
      <c r="G1469" s="14"/>
    </row>
    <row r="1470" spans="1:7" ht="14.25" customHeight="1" x14ac:dyDescent="0.3">
      <c r="A1470" s="41">
        <v>46091</v>
      </c>
      <c r="B1470" s="42">
        <v>3876</v>
      </c>
      <c r="C1470" s="42">
        <v>24261.599609375</v>
      </c>
      <c r="D1470" s="289">
        <f t="shared" si="44"/>
        <v>9.7198407915488096E-3</v>
      </c>
      <c r="E1470" s="289">
        <f t="shared" si="45"/>
        <v>8.823274116265099E-3</v>
      </c>
      <c r="F1470" s="14"/>
      <c r="G1470" s="14"/>
    </row>
    <row r="1471" spans="1:7" ht="14.25" customHeight="1" x14ac:dyDescent="0.3">
      <c r="A1471" s="41">
        <v>46092</v>
      </c>
      <c r="B1471" s="42">
        <v>3838.80004882813</v>
      </c>
      <c r="C1471" s="42">
        <v>23866.849609375</v>
      </c>
      <c r="D1471" s="289">
        <f t="shared" si="44"/>
        <v>-1.6270567743087452E-2</v>
      </c>
      <c r="E1471" s="289">
        <f t="shared" si="45"/>
        <v>-9.5975106222574817E-3</v>
      </c>
      <c r="F1471" s="14"/>
      <c r="G1471" s="14"/>
    </row>
    <row r="1472" spans="1:7" ht="14.25" customHeight="1" x14ac:dyDescent="0.3">
      <c r="A1472" s="41">
        <v>46093</v>
      </c>
      <c r="B1472" s="42">
        <v>3719.5</v>
      </c>
      <c r="C1472" s="42">
        <v>23639.150390625</v>
      </c>
      <c r="D1472" s="289">
        <f t="shared" si="44"/>
        <v>-9.5403969303329752E-3</v>
      </c>
      <c r="E1472" s="289">
        <f t="shared" si="45"/>
        <v>-3.1077432351431983E-2</v>
      </c>
      <c r="F1472" s="14"/>
      <c r="G1472" s="14"/>
    </row>
    <row r="1473" spans="1:7" ht="14.25" customHeight="1" x14ac:dyDescent="0.3">
      <c r="A1473" s="41">
        <v>46094</v>
      </c>
      <c r="B1473" s="42">
        <v>3439</v>
      </c>
      <c r="C1473" s="42">
        <v>23151.099609375</v>
      </c>
      <c r="D1473" s="289">
        <f t="shared" si="44"/>
        <v>-2.0645868112229408E-2</v>
      </c>
      <c r="E1473" s="289">
        <f t="shared" si="45"/>
        <v>-7.5413362011022986E-2</v>
      </c>
      <c r="F1473" s="14"/>
      <c r="G1473" s="14"/>
    </row>
    <row r="1474" spans="1:7" ht="14.25" customHeight="1" x14ac:dyDescent="0.3">
      <c r="A1474" s="41">
        <v>46097</v>
      </c>
      <c r="B1474" s="42">
        <v>3469.39990234375</v>
      </c>
      <c r="C1474" s="42">
        <v>23408.80078125</v>
      </c>
      <c r="D1474" s="289">
        <f t="shared" si="44"/>
        <v>1.1131271353117254E-2</v>
      </c>
      <c r="E1474" s="289">
        <f t="shared" si="45"/>
        <v>8.8397506088252406E-3</v>
      </c>
      <c r="F1474" s="14"/>
      <c r="G1474" s="14"/>
    </row>
    <row r="1475" spans="1:7" ht="14.25" customHeight="1" x14ac:dyDescent="0.3">
      <c r="A1475" s="41">
        <v>46098</v>
      </c>
      <c r="B1475" s="42">
        <v>3542.80004882813</v>
      </c>
      <c r="C1475" s="42">
        <v>23581.150390625</v>
      </c>
      <c r="D1475" s="289">
        <f t="shared" ref="D1475:D1534" si="46">(C1475-C1474)/C1474</f>
        <v>7.3625988356075351E-3</v>
      </c>
      <c r="E1475" s="289">
        <f t="shared" ref="E1475:E1534" si="47">(B1475-B1474)/B1474</f>
        <v>2.1156438735930844E-2</v>
      </c>
      <c r="F1475" s="14"/>
      <c r="G1475" s="14"/>
    </row>
    <row r="1476" spans="1:7" ht="14.25" customHeight="1" x14ac:dyDescent="0.3">
      <c r="A1476" s="41">
        <v>46099</v>
      </c>
      <c r="B1476" s="42">
        <v>3607.89990234375</v>
      </c>
      <c r="C1476" s="42">
        <v>23777.80078125</v>
      </c>
      <c r="D1476" s="289">
        <f t="shared" si="46"/>
        <v>8.339304375208979E-3</v>
      </c>
      <c r="E1476" s="289">
        <f t="shared" si="47"/>
        <v>1.8375254775429228E-2</v>
      </c>
      <c r="F1476" s="14"/>
      <c r="G1476" s="14"/>
    </row>
    <row r="1477" spans="1:7" ht="14.25" customHeight="1" x14ac:dyDescent="0.3">
      <c r="A1477" s="41">
        <v>46100</v>
      </c>
      <c r="B1477" s="42">
        <v>3434.5</v>
      </c>
      <c r="C1477" s="42">
        <v>23002.150390625</v>
      </c>
      <c r="D1477" s="289">
        <f t="shared" si="46"/>
        <v>-3.2620779262169594E-2</v>
      </c>
      <c r="E1477" s="289">
        <f t="shared" si="47"/>
        <v>-4.8061173268999682E-2</v>
      </c>
      <c r="F1477" s="14"/>
      <c r="G1477" s="14"/>
    </row>
    <row r="1478" spans="1:7" ht="14.25" customHeight="1" x14ac:dyDescent="0.3">
      <c r="A1478" s="41">
        <v>46101</v>
      </c>
      <c r="B1478" s="42">
        <v>3434.80004882813</v>
      </c>
      <c r="C1478" s="42">
        <v>23114.5</v>
      </c>
      <c r="D1478" s="289">
        <f t="shared" si="46"/>
        <v>4.8843089653387538E-3</v>
      </c>
      <c r="E1478" s="289">
        <f t="shared" si="47"/>
        <v>8.7363176046004431E-5</v>
      </c>
      <c r="F1478" s="14"/>
      <c r="G1478" s="14"/>
    </row>
    <row r="1479" spans="1:7" ht="14.25" customHeight="1" x14ac:dyDescent="0.3">
      <c r="A1479" s="41">
        <v>46104</v>
      </c>
      <c r="B1479" s="42">
        <v>3342.39990234375</v>
      </c>
      <c r="C1479" s="42">
        <v>22512.650390625</v>
      </c>
      <c r="D1479" s="289">
        <f t="shared" si="46"/>
        <v>-2.6037751600726817E-2</v>
      </c>
      <c r="E1479" s="289">
        <f t="shared" si="47"/>
        <v>-2.690117187924947E-2</v>
      </c>
      <c r="F1479" s="14"/>
      <c r="G1479" s="14"/>
    </row>
    <row r="1480" spans="1:7" ht="14.25" customHeight="1" x14ac:dyDescent="0.3">
      <c r="A1480" s="41">
        <v>46105</v>
      </c>
      <c r="B1480" s="42">
        <v>3516.80004882813</v>
      </c>
      <c r="C1480" s="42">
        <v>22912.400390625</v>
      </c>
      <c r="D1480" s="289">
        <f t="shared" si="46"/>
        <v>1.7756683156527359E-2</v>
      </c>
      <c r="E1480" s="289">
        <f t="shared" si="47"/>
        <v>5.2178120984890983E-2</v>
      </c>
      <c r="F1480" s="14"/>
      <c r="G1480" s="14"/>
    </row>
    <row r="1481" spans="1:7" ht="14.25" customHeight="1" x14ac:dyDescent="0.3">
      <c r="A1481" s="41">
        <v>46106</v>
      </c>
      <c r="B1481" s="42">
        <v>3649.30004882813</v>
      </c>
      <c r="C1481" s="42">
        <v>23306.44921875</v>
      </c>
      <c r="D1481" s="289">
        <f t="shared" si="46"/>
        <v>1.719805962740734E-2</v>
      </c>
      <c r="E1481" s="289">
        <f t="shared" si="47"/>
        <v>3.7676296110195892E-2</v>
      </c>
      <c r="F1481" s="14"/>
      <c r="G1481" s="14"/>
    </row>
    <row r="1482" spans="1:7" ht="14.25" customHeight="1" x14ac:dyDescent="0.3">
      <c r="A1482" s="41">
        <v>46108</v>
      </c>
      <c r="B1482" s="42">
        <v>3564.10009765625</v>
      </c>
      <c r="C1482" s="42">
        <v>22819.599609375</v>
      </c>
      <c r="D1482" s="289">
        <f t="shared" si="46"/>
        <v>-2.0889051129389984E-2</v>
      </c>
      <c r="E1482" s="289">
        <f t="shared" si="47"/>
        <v>-2.3346929556872027E-2</v>
      </c>
      <c r="F1482" s="14"/>
      <c r="G1482" s="14"/>
    </row>
    <row r="1483" spans="1:7" ht="14.25" customHeight="1" x14ac:dyDescent="0.3">
      <c r="A1483" s="41">
        <v>46111</v>
      </c>
      <c r="B1483" s="42">
        <v>3504.10009765625</v>
      </c>
      <c r="C1483" s="42">
        <v>22331.400390625</v>
      </c>
      <c r="D1483" s="289">
        <f t="shared" si="46"/>
        <v>-2.1393855593742871E-2</v>
      </c>
      <c r="E1483" s="289">
        <f t="shared" si="47"/>
        <v>-1.6834544024017722E-2</v>
      </c>
      <c r="F1483" s="14"/>
      <c r="G1483" s="14"/>
    </row>
    <row r="1484" spans="1:7" ht="14.25" customHeight="1" x14ac:dyDescent="0.3">
      <c r="A1484" s="41">
        <v>46113</v>
      </c>
      <c r="B1484" s="42">
        <v>3607.5</v>
      </c>
      <c r="C1484" s="42">
        <v>22679.400390625</v>
      </c>
      <c r="D1484" s="289">
        <f t="shared" si="46"/>
        <v>1.5583438293735253E-2</v>
      </c>
      <c r="E1484" s="289">
        <f t="shared" si="47"/>
        <v>2.950826159701031E-2</v>
      </c>
      <c r="F1484" s="14"/>
      <c r="G1484" s="14"/>
    </row>
    <row r="1485" spans="1:7" ht="14.25" customHeight="1" x14ac:dyDescent="0.3">
      <c r="A1485" s="41">
        <v>46114</v>
      </c>
      <c r="B1485" s="42">
        <v>3613.10009765625</v>
      </c>
      <c r="C1485" s="42">
        <v>22713.099609375</v>
      </c>
      <c r="D1485" s="289">
        <f t="shared" si="46"/>
        <v>1.4858954897207189E-3</v>
      </c>
      <c r="E1485" s="289">
        <f t="shared" si="47"/>
        <v>1.5523486226611226E-3</v>
      </c>
      <c r="F1485" s="14"/>
      <c r="G1485" s="14"/>
    </row>
    <row r="1486" spans="1:7" ht="14.25" customHeight="1" x14ac:dyDescent="0.3">
      <c r="A1486" s="41">
        <v>46118</v>
      </c>
      <c r="B1486" s="42">
        <v>3727.69995117188</v>
      </c>
      <c r="C1486" s="42">
        <v>22968.25</v>
      </c>
      <c r="D1486" s="289">
        <f t="shared" si="46"/>
        <v>1.123362266767345E-2</v>
      </c>
      <c r="E1486" s="289">
        <f t="shared" si="47"/>
        <v>3.1717873963682537E-2</v>
      </c>
      <c r="F1486" s="14"/>
      <c r="G1486" s="14"/>
    </row>
    <row r="1487" spans="1:7" ht="14.25" customHeight="1" x14ac:dyDescent="0.3">
      <c r="A1487" s="41">
        <v>46119</v>
      </c>
      <c r="B1487" s="42">
        <v>3723.30004882813</v>
      </c>
      <c r="C1487" s="42">
        <v>23123.650390625</v>
      </c>
      <c r="D1487" s="289">
        <f t="shared" si="46"/>
        <v>6.7658785769486142E-3</v>
      </c>
      <c r="E1487" s="289">
        <f t="shared" si="47"/>
        <v>-1.1803263141838439E-3</v>
      </c>
      <c r="F1487" s="14"/>
      <c r="G1487" s="14"/>
    </row>
    <row r="1488" spans="1:7" ht="14.25" customHeight="1" x14ac:dyDescent="0.3">
      <c r="A1488" s="41">
        <v>46120</v>
      </c>
      <c r="B1488" s="42">
        <v>4005.89990234375</v>
      </c>
      <c r="C1488" s="42">
        <v>23997.349609375</v>
      </c>
      <c r="D1488" s="289">
        <f t="shared" si="46"/>
        <v>3.7783792956159856E-2</v>
      </c>
      <c r="E1488" s="289">
        <f t="shared" si="47"/>
        <v>7.5900370587797611E-2</v>
      </c>
      <c r="F1488" s="14"/>
      <c r="G1488" s="14"/>
    </row>
    <row r="1489" spans="1:7" ht="14.25" customHeight="1" x14ac:dyDescent="0.3">
      <c r="A1489" s="41">
        <v>46121</v>
      </c>
      <c r="B1489" s="42">
        <v>3896.19995117188</v>
      </c>
      <c r="C1489" s="42">
        <v>23775.099609375</v>
      </c>
      <c r="D1489" s="289">
        <f t="shared" si="46"/>
        <v>-9.2614394346771534E-3</v>
      </c>
      <c r="E1489" s="289">
        <f t="shared" si="47"/>
        <v>-2.7384596182168045E-2</v>
      </c>
      <c r="F1489" s="14"/>
      <c r="G1489" s="14"/>
    </row>
    <row r="1490" spans="1:7" ht="14.25" customHeight="1" x14ac:dyDescent="0.3">
      <c r="A1490" s="41">
        <v>46122</v>
      </c>
      <c r="B1490" s="42">
        <v>3959.89990234375</v>
      </c>
      <c r="C1490" s="42">
        <v>24050.599609375</v>
      </c>
      <c r="D1490" s="289">
        <f t="shared" si="46"/>
        <v>1.1587753764504306E-2</v>
      </c>
      <c r="E1490" s="289">
        <f t="shared" si="47"/>
        <v>1.6349251057485033E-2</v>
      </c>
      <c r="F1490" s="14"/>
      <c r="G1490" s="14"/>
    </row>
    <row r="1491" spans="1:7" ht="14.25" customHeight="1" x14ac:dyDescent="0.3">
      <c r="A1491" s="41">
        <v>46125</v>
      </c>
      <c r="B1491" s="42">
        <v>3954.30004882813</v>
      </c>
      <c r="C1491" s="42">
        <v>23842.650390625</v>
      </c>
      <c r="D1491" s="289">
        <f t="shared" si="46"/>
        <v>-8.6463215939506441E-3</v>
      </c>
      <c r="E1491" s="289">
        <f t="shared" si="47"/>
        <v>-1.4141401686203247E-3</v>
      </c>
      <c r="F1491" s="14"/>
      <c r="G1491" s="14"/>
    </row>
    <row r="1492" spans="1:7" ht="14.25" customHeight="1" x14ac:dyDescent="0.3">
      <c r="A1492" s="41">
        <v>46127</v>
      </c>
      <c r="B1492" s="42">
        <v>4076.30004882813</v>
      </c>
      <c r="C1492" s="42">
        <v>24231.30078125</v>
      </c>
      <c r="D1492" s="289">
        <f t="shared" si="46"/>
        <v>1.6300637062472655E-2</v>
      </c>
      <c r="E1492" s="289">
        <f t="shared" si="47"/>
        <v>3.0852489313792742E-2</v>
      </c>
      <c r="F1492" s="14"/>
      <c r="G1492" s="14"/>
    </row>
    <row r="1493" spans="1:7" ht="14.25" customHeight="1" x14ac:dyDescent="0.3">
      <c r="A1493" s="41">
        <v>46128</v>
      </c>
      <c r="B1493" s="42">
        <v>4119.7998046875</v>
      </c>
      <c r="C1493" s="42">
        <v>24196.75</v>
      </c>
      <c r="D1493" s="289">
        <f t="shared" si="46"/>
        <v>-1.4258739785333826E-3</v>
      </c>
      <c r="E1493" s="289">
        <f t="shared" si="47"/>
        <v>1.0671382218753861E-2</v>
      </c>
      <c r="F1493" s="14"/>
      <c r="G1493" s="14"/>
    </row>
    <row r="1494" spans="1:7" ht="14.25" customHeight="1" x14ac:dyDescent="0.3">
      <c r="A1494" s="41">
        <v>46129</v>
      </c>
      <c r="B1494" s="42">
        <v>4096.10009765625</v>
      </c>
      <c r="C1494" s="42">
        <v>24353.55078125</v>
      </c>
      <c r="D1494" s="289">
        <f t="shared" si="46"/>
        <v>6.480241406387221E-3</v>
      </c>
      <c r="E1494" s="289">
        <f t="shared" si="47"/>
        <v>-5.7526356024107097E-3</v>
      </c>
      <c r="F1494" s="14"/>
      <c r="G1494" s="14"/>
    </row>
    <row r="1495" spans="1:7" ht="14.25" customHeight="1" x14ac:dyDescent="0.3">
      <c r="A1495" s="41">
        <v>46132</v>
      </c>
      <c r="B1495" s="42">
        <v>4051</v>
      </c>
      <c r="C1495" s="42">
        <v>24364.849609375</v>
      </c>
      <c r="D1495" s="289">
        <f t="shared" si="46"/>
        <v>4.6394992773288163E-4</v>
      </c>
      <c r="E1495" s="289">
        <f t="shared" si="47"/>
        <v>-1.101049695588637E-2</v>
      </c>
      <c r="F1495" s="14"/>
      <c r="G1495" s="14"/>
    </row>
    <row r="1496" spans="1:7" ht="14.25" customHeight="1" x14ac:dyDescent="0.3">
      <c r="A1496" s="41">
        <v>46133</v>
      </c>
      <c r="B1496" s="42">
        <v>4075.39990234375</v>
      </c>
      <c r="C1496" s="42">
        <v>24576.599609375</v>
      </c>
      <c r="D1496" s="289">
        <f t="shared" si="46"/>
        <v>8.6907985641135974E-3</v>
      </c>
      <c r="E1496" s="289">
        <f t="shared" si="47"/>
        <v>6.0231800404221183E-3</v>
      </c>
      <c r="F1496" s="14"/>
      <c r="G1496" s="14"/>
    </row>
    <row r="1497" spans="1:7" ht="14.25" customHeight="1" x14ac:dyDescent="0.3">
      <c r="A1497" s="41">
        <v>46134</v>
      </c>
      <c r="B1497" s="42">
        <v>4021.10009765625</v>
      </c>
      <c r="C1497" s="42">
        <v>24378.099609375</v>
      </c>
      <c r="D1497" s="289">
        <f t="shared" si="46"/>
        <v>-8.0767886182383057E-3</v>
      </c>
      <c r="E1497" s="289">
        <f t="shared" si="47"/>
        <v>-1.3323797906623188E-2</v>
      </c>
      <c r="F1497" s="14"/>
      <c r="G1497" s="14"/>
    </row>
    <row r="1498" spans="1:7" ht="14.25" customHeight="1" x14ac:dyDescent="0.3">
      <c r="A1498" s="41">
        <v>46135</v>
      </c>
      <c r="B1498" s="42">
        <v>4054.10009765625</v>
      </c>
      <c r="C1498" s="42">
        <v>24173.05078125</v>
      </c>
      <c r="D1498" s="289">
        <f t="shared" si="46"/>
        <v>-8.4111900193460983E-3</v>
      </c>
      <c r="E1498" s="289">
        <f t="shared" si="47"/>
        <v>8.2067094075162356E-3</v>
      </c>
      <c r="F1498" s="14"/>
      <c r="G1498" s="14"/>
    </row>
    <row r="1499" spans="1:7" ht="14.25" customHeight="1" x14ac:dyDescent="0.3">
      <c r="A1499" s="41">
        <v>46136</v>
      </c>
      <c r="B1499" s="42">
        <v>4014.30004882813</v>
      </c>
      <c r="C1499" s="42">
        <v>23897.94921875</v>
      </c>
      <c r="D1499" s="289">
        <f t="shared" si="46"/>
        <v>-1.1380506539678661E-2</v>
      </c>
      <c r="E1499" s="289">
        <f t="shared" si="47"/>
        <v>-9.8172338791361214E-3</v>
      </c>
      <c r="F1499" s="14"/>
      <c r="G1499" s="14"/>
    </row>
    <row r="1500" spans="1:7" ht="14.25" customHeight="1" x14ac:dyDescent="0.3">
      <c r="A1500" s="41">
        <v>46139</v>
      </c>
      <c r="B1500" s="42">
        <v>4053.60009765625</v>
      </c>
      <c r="C1500" s="42">
        <v>24092.69921875</v>
      </c>
      <c r="D1500" s="289">
        <f t="shared" si="46"/>
        <v>8.1492348241832338E-3</v>
      </c>
      <c r="E1500" s="289">
        <f t="shared" si="47"/>
        <v>9.7900127917923373E-3</v>
      </c>
      <c r="F1500" s="14"/>
      <c r="G1500" s="14"/>
    </row>
    <row r="1501" spans="1:7" ht="14.25" customHeight="1" x14ac:dyDescent="0.3">
      <c r="A1501" s="41">
        <v>46140</v>
      </c>
      <c r="B1501" s="42">
        <v>4037.69995117188</v>
      </c>
      <c r="C1501" s="42">
        <v>23995.69921875</v>
      </c>
      <c r="D1501" s="289">
        <f t="shared" si="46"/>
        <v>-4.0261159249649504E-3</v>
      </c>
      <c r="E1501" s="289">
        <f t="shared" si="47"/>
        <v>-3.9224753555643782E-3</v>
      </c>
      <c r="F1501" s="14"/>
      <c r="G1501" s="14"/>
    </row>
    <row r="1502" spans="1:7" ht="14.25" customHeight="1" x14ac:dyDescent="0.3">
      <c r="A1502" s="41">
        <v>46141</v>
      </c>
      <c r="B1502" s="42">
        <v>4096.10009765625</v>
      </c>
      <c r="C1502" s="42">
        <v>24177.650390625</v>
      </c>
      <c r="D1502" s="289">
        <f t="shared" si="46"/>
        <v>7.5826576344491421E-3</v>
      </c>
      <c r="E1502" s="289">
        <f t="shared" si="47"/>
        <v>1.4463716271789898E-2</v>
      </c>
      <c r="F1502" s="14"/>
      <c r="G1502" s="14"/>
    </row>
    <row r="1503" spans="1:7" ht="14.25" customHeight="1" x14ac:dyDescent="0.3">
      <c r="A1503" s="41">
        <v>46142</v>
      </c>
      <c r="B1503" s="42">
        <v>4014</v>
      </c>
      <c r="C1503" s="42">
        <v>23997.55078125</v>
      </c>
      <c r="D1503" s="289">
        <f t="shared" si="46"/>
        <v>-7.4490120613554117E-3</v>
      </c>
      <c r="E1503" s="289">
        <f t="shared" si="47"/>
        <v>-2.0043479333726952E-2</v>
      </c>
      <c r="F1503" s="14"/>
      <c r="G1503" s="14"/>
    </row>
    <row r="1504" spans="1:7" ht="14.25" customHeight="1" x14ac:dyDescent="0.3">
      <c r="A1504" s="41">
        <v>46146</v>
      </c>
      <c r="B1504" s="42">
        <v>4100.7998046875</v>
      </c>
      <c r="C1504" s="42">
        <v>24119.30078125</v>
      </c>
      <c r="D1504" s="289">
        <f t="shared" si="46"/>
        <v>5.0734344146122984E-3</v>
      </c>
      <c r="E1504" s="289">
        <f t="shared" si="47"/>
        <v>2.1624266240034877E-2</v>
      </c>
      <c r="F1504" s="14"/>
      <c r="G1504" s="14"/>
    </row>
    <row r="1505" spans="1:7" ht="14.25" customHeight="1" x14ac:dyDescent="0.3">
      <c r="A1505" s="41">
        <v>46147</v>
      </c>
      <c r="B1505" s="42">
        <v>4054.5</v>
      </c>
      <c r="C1505" s="42">
        <v>24032.80078125</v>
      </c>
      <c r="D1505" s="289">
        <f t="shared" si="46"/>
        <v>-3.5863394542201598E-3</v>
      </c>
      <c r="E1505" s="289">
        <f t="shared" si="47"/>
        <v>-1.1290432816197488E-2</v>
      </c>
      <c r="F1505" s="14"/>
      <c r="G1505" s="14"/>
    </row>
    <row r="1506" spans="1:7" ht="14.25" customHeight="1" x14ac:dyDescent="0.3">
      <c r="A1506" s="41">
        <v>46148</v>
      </c>
      <c r="B1506" s="42">
        <v>4008.5</v>
      </c>
      <c r="C1506" s="42">
        <v>24330.94921875</v>
      </c>
      <c r="D1506" s="289">
        <f t="shared" si="46"/>
        <v>1.2405896433536392E-2</v>
      </c>
      <c r="E1506" s="289">
        <f t="shared" si="47"/>
        <v>-1.13454186706129E-2</v>
      </c>
      <c r="F1506" s="14"/>
      <c r="G1506" s="14"/>
    </row>
    <row r="1507" spans="1:7" ht="14.25" customHeight="1" x14ac:dyDescent="0.3">
      <c r="A1507" s="41">
        <v>46149</v>
      </c>
      <c r="B1507" s="42">
        <v>4023</v>
      </c>
      <c r="C1507" s="42">
        <v>24326.650390625</v>
      </c>
      <c r="D1507" s="289">
        <f t="shared" si="46"/>
        <v>-1.7668148029700471E-4</v>
      </c>
      <c r="E1507" s="289">
        <f t="shared" si="47"/>
        <v>3.6173132094299613E-3</v>
      </c>
      <c r="F1507" s="14"/>
      <c r="G1507" s="14"/>
    </row>
    <row r="1508" spans="1:7" ht="14.25" customHeight="1" x14ac:dyDescent="0.3">
      <c r="A1508" s="41">
        <v>46150</v>
      </c>
      <c r="B1508" s="42">
        <v>3974.5</v>
      </c>
      <c r="C1508" s="42">
        <v>24176.150390625</v>
      </c>
      <c r="D1508" s="289">
        <f t="shared" si="46"/>
        <v>-6.1866306122440786E-3</v>
      </c>
      <c r="E1508" s="289">
        <f t="shared" si="47"/>
        <v>-1.205567984091474E-2</v>
      </c>
      <c r="F1508" s="14"/>
      <c r="G1508" s="14"/>
    </row>
    <row r="1509" spans="1:7" ht="14.25" customHeight="1" x14ac:dyDescent="0.3">
      <c r="A1509" s="41">
        <v>46153</v>
      </c>
      <c r="B1509" s="42">
        <v>3940.19995117188</v>
      </c>
      <c r="C1509" s="42">
        <v>23815.849609375</v>
      </c>
      <c r="D1509" s="289">
        <f t="shared" si="46"/>
        <v>-1.4903149402549921E-2</v>
      </c>
      <c r="E1509" s="289">
        <f t="shared" si="47"/>
        <v>-8.6300286396074968E-3</v>
      </c>
      <c r="F1509" s="14"/>
      <c r="G1509" s="14"/>
    </row>
    <row r="1510" spans="1:7" ht="14.25" customHeight="1" x14ac:dyDescent="0.3">
      <c r="A1510" s="41">
        <v>46154</v>
      </c>
      <c r="B1510" s="42">
        <v>3856.5</v>
      </c>
      <c r="C1510" s="42">
        <v>23379.55078125</v>
      </c>
      <c r="D1510" s="289">
        <f t="shared" si="46"/>
        <v>-1.8319683541890227E-2</v>
      </c>
      <c r="E1510" s="289">
        <f t="shared" si="47"/>
        <v>-2.1242564389907743E-2</v>
      </c>
      <c r="F1510" s="14"/>
      <c r="G1510" s="14"/>
    </row>
    <row r="1511" spans="1:7" ht="14.25" customHeight="1" x14ac:dyDescent="0.3">
      <c r="A1511" s="41">
        <v>46155</v>
      </c>
      <c r="B1511" s="42">
        <v>3915.80004882813</v>
      </c>
      <c r="C1511" s="42">
        <v>23412.599609375</v>
      </c>
      <c r="D1511" s="289">
        <f t="shared" si="46"/>
        <v>1.413578405942025E-3</v>
      </c>
      <c r="E1511" s="289">
        <f t="shared" si="47"/>
        <v>1.5376649508136912E-2</v>
      </c>
      <c r="F1511" s="14"/>
      <c r="G1511" s="14"/>
    </row>
    <row r="1512" spans="1:7" ht="14.25" customHeight="1" x14ac:dyDescent="0.3">
      <c r="A1512" s="41">
        <v>46156</v>
      </c>
      <c r="B1512" s="42">
        <v>3940.39990234375</v>
      </c>
      <c r="C1512" s="42">
        <v>23689.599609375</v>
      </c>
      <c r="D1512" s="289">
        <f t="shared" si="46"/>
        <v>1.1831236369372762E-2</v>
      </c>
      <c r="E1512" s="289">
        <f t="shared" si="47"/>
        <v>6.2822036898901217E-3</v>
      </c>
      <c r="F1512" s="14"/>
      <c r="G1512" s="14"/>
    </row>
    <row r="1513" spans="1:7" ht="14.25" customHeight="1" x14ac:dyDescent="0.3">
      <c r="A1513" s="41">
        <v>46157</v>
      </c>
      <c r="B1513" s="42">
        <v>3909</v>
      </c>
      <c r="C1513" s="42">
        <v>23643.5</v>
      </c>
      <c r="D1513" s="289">
        <f t="shared" si="46"/>
        <v>-1.9459851637490906E-3</v>
      </c>
      <c r="E1513" s="289">
        <f t="shared" si="47"/>
        <v>-7.9687095528231371E-3</v>
      </c>
      <c r="F1513" s="14"/>
      <c r="G1513" s="14"/>
    </row>
    <row r="1514" spans="1:7" ht="14.25" customHeight="1" x14ac:dyDescent="0.3">
      <c r="A1514" s="41">
        <v>46160</v>
      </c>
      <c r="B1514" s="42">
        <v>3917.80004882813</v>
      </c>
      <c r="C1514" s="42">
        <v>23649.94921875</v>
      </c>
      <c r="D1514" s="289">
        <f t="shared" si="46"/>
        <v>2.7276920718167786E-4</v>
      </c>
      <c r="E1514" s="289">
        <f t="shared" si="47"/>
        <v>2.2512276357457158E-3</v>
      </c>
      <c r="F1514" s="14"/>
      <c r="G1514" s="14"/>
    </row>
    <row r="1515" spans="1:7" ht="14.25" customHeight="1" x14ac:dyDescent="0.3">
      <c r="A1515" s="41">
        <v>46161</v>
      </c>
      <c r="B1515" s="42">
        <v>3921</v>
      </c>
      <c r="C1515" s="42">
        <v>23618</v>
      </c>
      <c r="D1515" s="289">
        <f t="shared" si="46"/>
        <v>-1.3509212410769249E-3</v>
      </c>
      <c r="E1515" s="289">
        <f t="shared" si="47"/>
        <v>8.167724569882399E-4</v>
      </c>
      <c r="F1515" s="14"/>
      <c r="G1515" s="14"/>
    </row>
    <row r="1516" spans="1:7" ht="14.25" customHeight="1" x14ac:dyDescent="0.3">
      <c r="A1516" s="41">
        <v>46162</v>
      </c>
      <c r="B1516" s="42">
        <v>3910.69995117188</v>
      </c>
      <c r="C1516" s="42">
        <v>23659</v>
      </c>
      <c r="D1516" s="289">
        <f t="shared" si="46"/>
        <v>1.7359640951816412E-3</v>
      </c>
      <c r="E1516" s="289">
        <f t="shared" si="47"/>
        <v>-2.6268933507064517E-3</v>
      </c>
      <c r="F1516" s="14"/>
      <c r="G1516" s="14"/>
    </row>
    <row r="1517" spans="1:7" ht="14.25" customHeight="1" x14ac:dyDescent="0.3">
      <c r="A1517" s="41">
        <v>46163</v>
      </c>
      <c r="B1517" s="42">
        <v>3928.5</v>
      </c>
      <c r="C1517" s="42">
        <v>23654.69921875</v>
      </c>
      <c r="D1517" s="289">
        <f t="shared" si="46"/>
        <v>-1.8178203854769855E-4</v>
      </c>
      <c r="E1517" s="289">
        <f t="shared" si="47"/>
        <v>4.5516273430248819E-3</v>
      </c>
      <c r="F1517" s="14"/>
      <c r="G1517" s="14"/>
    </row>
    <row r="1518" spans="1:7" ht="14.25" customHeight="1" x14ac:dyDescent="0.3">
      <c r="A1518" s="41">
        <v>46164</v>
      </c>
      <c r="B1518" s="42">
        <v>3926.60009765625</v>
      </c>
      <c r="C1518" s="42">
        <v>23719.30078125</v>
      </c>
      <c r="D1518" s="289">
        <f t="shared" si="46"/>
        <v>2.7310244743587054E-3</v>
      </c>
      <c r="E1518" s="289">
        <f t="shared" si="47"/>
        <v>-4.8362029877815958E-4</v>
      </c>
      <c r="F1518" s="14"/>
      <c r="G1518" s="14"/>
    </row>
    <row r="1519" spans="1:7" ht="14.25" customHeight="1" x14ac:dyDescent="0.3">
      <c r="A1519" s="41">
        <v>46167</v>
      </c>
      <c r="B1519" s="42">
        <v>4033.39990234375</v>
      </c>
      <c r="C1519" s="42">
        <v>24031.69921875</v>
      </c>
      <c r="D1519" s="289">
        <f t="shared" si="46"/>
        <v>1.317064277657584E-2</v>
      </c>
      <c r="E1519" s="289">
        <f t="shared" si="47"/>
        <v>2.7199053132822917E-2</v>
      </c>
      <c r="F1519" s="14"/>
      <c r="G1519" s="14"/>
    </row>
    <row r="1520" spans="1:7" ht="14.25" customHeight="1" x14ac:dyDescent="0.3">
      <c r="A1520" s="41">
        <v>46168</v>
      </c>
      <c r="B1520" s="42">
        <v>4037.80004882813</v>
      </c>
      <c r="C1520" s="42">
        <v>23913.69921875</v>
      </c>
      <c r="D1520" s="289">
        <f t="shared" si="46"/>
        <v>-4.9101812953756549E-3</v>
      </c>
      <c r="E1520" s="289">
        <f t="shared" si="47"/>
        <v>1.0909274039063524E-3</v>
      </c>
      <c r="F1520" s="14"/>
      <c r="G1520" s="14"/>
    </row>
    <row r="1521" spans="1:7" ht="14.25" customHeight="1" x14ac:dyDescent="0.3">
      <c r="A1521" s="41">
        <v>46169</v>
      </c>
      <c r="B1521" s="42">
        <v>4047.5</v>
      </c>
      <c r="C1521" s="42">
        <v>23907.150390625</v>
      </c>
      <c r="D1521" s="289">
        <f t="shared" si="46"/>
        <v>-2.738525756761741E-4</v>
      </c>
      <c r="E1521" s="289">
        <f t="shared" si="47"/>
        <v>2.4022861594360438E-3</v>
      </c>
      <c r="F1521" s="14"/>
      <c r="G1521" s="14"/>
    </row>
    <row r="1522" spans="1:7" ht="14.25" customHeight="1" x14ac:dyDescent="0.3">
      <c r="A1522" s="41">
        <v>46171</v>
      </c>
      <c r="B1522" s="42">
        <v>4076.5</v>
      </c>
      <c r="C1522" s="42">
        <v>23547.75</v>
      </c>
      <c r="D1522" s="289">
        <f t="shared" si="46"/>
        <v>-1.5033175629578004E-2</v>
      </c>
      <c r="E1522" s="289">
        <f t="shared" si="47"/>
        <v>7.1649166151945649E-3</v>
      </c>
      <c r="F1522" s="14"/>
      <c r="G1522" s="14"/>
    </row>
    <row r="1523" spans="1:7" ht="14.25" customHeight="1" x14ac:dyDescent="0.3">
      <c r="A1523" s="41">
        <v>46174</v>
      </c>
      <c r="B1523" s="42">
        <v>4010.80004882813</v>
      </c>
      <c r="C1523" s="42">
        <v>23382.599609375</v>
      </c>
      <c r="D1523" s="289">
        <f t="shared" si="46"/>
        <v>-7.0134255130532642E-3</v>
      </c>
      <c r="E1523" s="289">
        <f t="shared" si="47"/>
        <v>-1.6116754856339996E-2</v>
      </c>
      <c r="F1523" s="14"/>
      <c r="G1523" s="14"/>
    </row>
    <row r="1524" spans="1:7" ht="14.25" customHeight="1" x14ac:dyDescent="0.3">
      <c r="A1524" s="41">
        <v>46175</v>
      </c>
      <c r="B1524" s="42">
        <v>4000.89990234375</v>
      </c>
      <c r="C1524" s="42">
        <v>23483.55078125</v>
      </c>
      <c r="D1524" s="289">
        <f t="shared" si="46"/>
        <v>4.31736306319528E-3</v>
      </c>
      <c r="E1524" s="289">
        <f t="shared" si="47"/>
        <v>-2.4683719865996843E-3</v>
      </c>
      <c r="F1524" s="14"/>
      <c r="G1524" s="14"/>
    </row>
    <row r="1525" spans="1:7" ht="14.25" customHeight="1" x14ac:dyDescent="0.3">
      <c r="A1525" s="41">
        <v>46176</v>
      </c>
      <c r="B1525" s="42">
        <v>3953.19995117188</v>
      </c>
      <c r="C1525" s="42">
        <v>23405.599609375</v>
      </c>
      <c r="D1525" s="289">
        <f t="shared" si="46"/>
        <v>-3.319394609491451E-3</v>
      </c>
      <c r="E1525" s="289">
        <f t="shared" si="47"/>
        <v>-1.1922305565287223E-2</v>
      </c>
      <c r="F1525" s="14"/>
      <c r="G1525" s="14"/>
    </row>
    <row r="1526" spans="1:7" ht="14.25" customHeight="1" x14ac:dyDescent="0.3">
      <c r="A1526" s="41">
        <v>46177</v>
      </c>
      <c r="B1526" s="42">
        <v>3942.10009765625</v>
      </c>
      <c r="C1526" s="42">
        <v>23416.55078125</v>
      </c>
      <c r="D1526" s="289">
        <f t="shared" si="46"/>
        <v>4.6788683297024192E-4</v>
      </c>
      <c r="E1526" s="289">
        <f t="shared" si="47"/>
        <v>-2.8078148468912078E-3</v>
      </c>
      <c r="F1526" s="14"/>
      <c r="G1526" s="14"/>
    </row>
    <row r="1527" spans="1:7" ht="14.25" customHeight="1" x14ac:dyDescent="0.3">
      <c r="A1527" s="41">
        <v>46178</v>
      </c>
      <c r="B1527" s="42">
        <v>3953.19995117188</v>
      </c>
      <c r="C1527" s="42">
        <v>23366.69921875</v>
      </c>
      <c r="D1527" s="289">
        <f t="shared" si="46"/>
        <v>-2.1289028843614719E-3</v>
      </c>
      <c r="E1527" s="289">
        <f t="shared" si="47"/>
        <v>2.8157208697540043E-3</v>
      </c>
      <c r="F1527" s="14"/>
      <c r="G1527" s="14"/>
    </row>
    <row r="1528" spans="1:7" ht="14.25" customHeight="1" x14ac:dyDescent="0.3">
      <c r="A1528" s="41">
        <v>46181</v>
      </c>
      <c r="B1528" s="42">
        <v>3875.5</v>
      </c>
      <c r="C1528" s="42">
        <v>23123</v>
      </c>
      <c r="D1528" s="289">
        <f t="shared" si="46"/>
        <v>-1.0429338627102706E-2</v>
      </c>
      <c r="E1528" s="289">
        <f t="shared" si="47"/>
        <v>-1.9654950959120284E-2</v>
      </c>
      <c r="F1528" s="14"/>
      <c r="G1528" s="14"/>
    </row>
    <row r="1529" spans="1:7" ht="14.25" customHeight="1" x14ac:dyDescent="0.3">
      <c r="A1529" s="41">
        <v>46182</v>
      </c>
      <c r="B1529" s="42">
        <v>3900.60009765625</v>
      </c>
      <c r="C1529" s="42">
        <v>23242.099609375</v>
      </c>
      <c r="D1529" s="289">
        <f t="shared" si="46"/>
        <v>5.1506988442243653E-3</v>
      </c>
      <c r="E1529" s="289">
        <f t="shared" si="47"/>
        <v>6.4766088649851634E-3</v>
      </c>
      <c r="F1529" s="14"/>
      <c r="G1529" s="14"/>
    </row>
    <row r="1530" spans="1:7" ht="14.25" customHeight="1" x14ac:dyDescent="0.3">
      <c r="A1530" s="41">
        <v>46183</v>
      </c>
      <c r="B1530" s="42">
        <v>3917.5</v>
      </c>
      <c r="C1530" s="42">
        <v>23214.94921875</v>
      </c>
      <c r="D1530" s="289">
        <f t="shared" si="46"/>
        <v>-1.1681556778996222E-3</v>
      </c>
      <c r="E1530" s="289">
        <f t="shared" si="47"/>
        <v>4.3326416245296788E-3</v>
      </c>
      <c r="F1530" s="14"/>
      <c r="G1530" s="14"/>
    </row>
    <row r="1531" spans="1:7" ht="14.25" customHeight="1" x14ac:dyDescent="0.3">
      <c r="A1531" s="41">
        <v>46184</v>
      </c>
      <c r="B1531" s="42">
        <v>3862</v>
      </c>
      <c r="C1531" s="42">
        <v>23161.599609375</v>
      </c>
      <c r="D1531" s="289">
        <f t="shared" si="46"/>
        <v>-2.2980713363745446E-3</v>
      </c>
      <c r="E1531" s="289">
        <f t="shared" si="47"/>
        <v>-1.4167198468410976E-2</v>
      </c>
      <c r="F1531" s="14"/>
      <c r="G1531" s="14"/>
    </row>
    <row r="1532" spans="1:7" ht="14.25" customHeight="1" x14ac:dyDescent="0.3">
      <c r="A1532" s="41">
        <v>46185</v>
      </c>
      <c r="B1532" s="42">
        <v>4049.30004882813</v>
      </c>
      <c r="C1532" s="42">
        <v>23622.900390625</v>
      </c>
      <c r="D1532" s="289">
        <f t="shared" si="46"/>
        <v>1.9916620139797326E-2</v>
      </c>
      <c r="E1532" s="289">
        <f t="shared" si="47"/>
        <v>4.8498200110857072E-2</v>
      </c>
      <c r="F1532" s="14"/>
      <c r="G1532" s="14"/>
    </row>
    <row r="1533" spans="1:7" ht="14.25" customHeight="1" x14ac:dyDescent="0.3">
      <c r="A1533" s="41">
        <v>46188</v>
      </c>
      <c r="B1533" s="42">
        <v>4169.7998046875</v>
      </c>
      <c r="C1533" s="42">
        <v>23853.900390625</v>
      </c>
      <c r="D1533" s="289">
        <f t="shared" si="46"/>
        <v>9.7786468291452822E-3</v>
      </c>
      <c r="E1533" s="289">
        <f t="shared" si="47"/>
        <v>2.9758169166605154E-2</v>
      </c>
      <c r="F1533" s="14"/>
      <c r="G1533" s="14"/>
    </row>
    <row r="1534" spans="1:7" ht="14.25" customHeight="1" x14ac:dyDescent="0.3">
      <c r="A1534" s="41">
        <v>46189</v>
      </c>
      <c r="B1534" s="42">
        <v>4186.39990234375</v>
      </c>
      <c r="C1534" s="42">
        <v>23989.150390625</v>
      </c>
      <c r="D1534" s="289">
        <f t="shared" si="46"/>
        <v>5.6699322871808259E-3</v>
      </c>
      <c r="E1534" s="289">
        <f t="shared" si="47"/>
        <v>3.9810298896337717E-3</v>
      </c>
      <c r="F1534" s="14"/>
      <c r="G1534" s="14"/>
    </row>
  </sheetData>
  <mergeCells count="1">
    <mergeCell ref="H5:I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6"/>
  <sheetViews>
    <sheetView zoomScaleNormal="100" workbookViewId="0">
      <selection activeCell="A26" sqref="A26"/>
    </sheetView>
  </sheetViews>
  <sheetFormatPr defaultColWidth="8.6640625" defaultRowHeight="14.4" x14ac:dyDescent="0.3"/>
  <cols>
    <col min="1" max="1" width="33.6640625" customWidth="1"/>
    <col min="2" max="2" width="11.5546875" customWidth="1"/>
    <col min="3" max="3" width="6.6640625" customWidth="1"/>
    <col min="4" max="4" width="38.109375" customWidth="1"/>
    <col min="5" max="5" width="8.77734375" customWidth="1"/>
    <col min="6" max="6" width="19" customWidth="1"/>
  </cols>
  <sheetData>
    <row r="1" spans="1:10" ht="14.25" customHeight="1" x14ac:dyDescent="0.3">
      <c r="A1" s="290" t="s">
        <v>579</v>
      </c>
      <c r="B1" s="290"/>
      <c r="C1" s="46"/>
      <c r="D1" s="46"/>
      <c r="E1" s="46"/>
    </row>
    <row r="2" spans="1:10" ht="14.25" customHeight="1" x14ac:dyDescent="0.3">
      <c r="A2" s="47" t="s">
        <v>580</v>
      </c>
      <c r="B2" s="48">
        <f>'Consolidated Balance sheet'!E15+'Consolidated Balance sheet'!E21</f>
        <v>129559.34</v>
      </c>
    </row>
    <row r="3" spans="1:10" ht="14.25" customHeight="1" x14ac:dyDescent="0.3">
      <c r="A3" s="47" t="s">
        <v>581</v>
      </c>
      <c r="B3" s="48">
        <f>'Consolidated Balance sheet'!E6/2*E3</f>
        <v>481320.00000000006</v>
      </c>
      <c r="D3" s="49" t="s">
        <v>582</v>
      </c>
      <c r="E3" s="50">
        <v>3500</v>
      </c>
    </row>
    <row r="4" spans="1:10" ht="14.25" customHeight="1" x14ac:dyDescent="0.3">
      <c r="A4" s="51" t="s">
        <v>583</v>
      </c>
      <c r="B4" s="52">
        <f>B2+B3</f>
        <v>610879.34000000008</v>
      </c>
    </row>
    <row r="5" spans="1:10" ht="14.25" customHeight="1" x14ac:dyDescent="0.3">
      <c r="A5" s="53" t="s">
        <v>584</v>
      </c>
      <c r="B5" s="54">
        <f>B2/B4</f>
        <v>0.2120866290878326</v>
      </c>
    </row>
    <row r="6" spans="1:10" ht="14.25" customHeight="1" x14ac:dyDescent="0.3">
      <c r="A6" s="53" t="s">
        <v>585</v>
      </c>
      <c r="B6" s="54">
        <f>B3/B4</f>
        <v>0.7879133709121674</v>
      </c>
    </row>
    <row r="7" spans="1:10" ht="14.25" customHeight="1" x14ac:dyDescent="0.3">
      <c r="A7" s="55" t="s">
        <v>586</v>
      </c>
      <c r="B7" s="56">
        <f>B2/B3</f>
        <v>0.26917506025097643</v>
      </c>
    </row>
    <row r="9" spans="1:10" ht="14.25" customHeight="1" x14ac:dyDescent="0.3">
      <c r="A9" s="291" t="s">
        <v>587</v>
      </c>
      <c r="B9" s="291"/>
    </row>
    <row r="10" spans="1:10" ht="14.25" customHeight="1" x14ac:dyDescent="0.3">
      <c r="A10" s="57" t="s">
        <v>588</v>
      </c>
      <c r="B10" s="58">
        <v>6.25E-2</v>
      </c>
      <c r="D10" s="196" t="s">
        <v>589</v>
      </c>
      <c r="E10" s="196"/>
      <c r="F10" s="196"/>
      <c r="G10" s="196"/>
      <c r="H10" s="196"/>
      <c r="I10" s="196"/>
      <c r="J10" s="196"/>
    </row>
    <row r="11" spans="1:10" ht="14.25" customHeight="1" x14ac:dyDescent="0.3">
      <c r="A11" s="57" t="s">
        <v>590</v>
      </c>
      <c r="B11" s="59">
        <f>Beta!I20</f>
        <v>1.0792934700316701</v>
      </c>
    </row>
    <row r="12" spans="1:10" ht="14.25" customHeight="1" x14ac:dyDescent="0.3">
      <c r="A12" s="57" t="s">
        <v>591</v>
      </c>
      <c r="B12" s="58">
        <v>6.0499999999999998E-2</v>
      </c>
      <c r="D12" s="196" t="s">
        <v>592</v>
      </c>
      <c r="E12" s="196"/>
      <c r="F12" s="196"/>
      <c r="G12" s="196"/>
      <c r="H12" s="196"/>
      <c r="I12" s="196"/>
      <c r="J12" s="196"/>
    </row>
    <row r="13" spans="1:10" ht="14.25" customHeight="1" x14ac:dyDescent="0.3">
      <c r="A13" s="60" t="s">
        <v>593</v>
      </c>
      <c r="B13" s="61">
        <f>B10+B11*B12</f>
        <v>0.12779725493691604</v>
      </c>
    </row>
    <row r="15" spans="1:10" ht="14.25" customHeight="1" x14ac:dyDescent="0.3">
      <c r="A15" s="291" t="s">
        <v>594</v>
      </c>
      <c r="B15" s="291"/>
    </row>
    <row r="16" spans="1:10" ht="14.25" customHeight="1" x14ac:dyDescent="0.3">
      <c r="A16" s="62" t="s">
        <v>595</v>
      </c>
      <c r="B16" s="63">
        <f>'Consolidated P&amp;L'!E17</f>
        <v>3334.37</v>
      </c>
    </row>
    <row r="17" spans="1:9" ht="14.25" customHeight="1" x14ac:dyDescent="0.3">
      <c r="A17" s="57" t="s">
        <v>596</v>
      </c>
      <c r="B17" s="64">
        <f>B2</f>
        <v>129559.34</v>
      </c>
    </row>
    <row r="18" spans="1:9" ht="14.25" customHeight="1" x14ac:dyDescent="0.3">
      <c r="A18" s="57" t="s">
        <v>597</v>
      </c>
      <c r="B18" s="65">
        <f>IF(B17=0,0,B16/B17)</f>
        <v>2.5736237927732573E-2</v>
      </c>
    </row>
    <row r="19" spans="1:9" ht="14.25" customHeight="1" x14ac:dyDescent="0.3">
      <c r="A19" s="66" t="s">
        <v>598</v>
      </c>
      <c r="B19" s="67">
        <f>Assumptions!G34</f>
        <v>0.26002505994869279</v>
      </c>
    </row>
    <row r="20" spans="1:9" ht="14.25" customHeight="1" x14ac:dyDescent="0.3">
      <c r="A20" s="68" t="s">
        <v>599</v>
      </c>
      <c r="B20" s="69">
        <f>B18*(1-B19)</f>
        <v>1.9044171117720089E-2</v>
      </c>
    </row>
    <row r="22" spans="1:9" ht="17.25" customHeight="1" x14ac:dyDescent="0.3">
      <c r="A22" s="292" t="s">
        <v>600</v>
      </c>
      <c r="B22" s="292"/>
      <c r="C22" s="292"/>
      <c r="D22" s="292"/>
    </row>
    <row r="23" spans="1:9" ht="14.25" customHeight="1" x14ac:dyDescent="0.3">
      <c r="A23" s="70" t="s">
        <v>601</v>
      </c>
      <c r="B23" s="71" t="s">
        <v>602</v>
      </c>
      <c r="C23" s="71" t="s">
        <v>603</v>
      </c>
      <c r="D23" s="72" t="s">
        <v>604</v>
      </c>
    </row>
    <row r="24" spans="1:9" ht="14.25" customHeight="1" x14ac:dyDescent="0.3">
      <c r="A24" s="73" t="s">
        <v>605</v>
      </c>
      <c r="B24" s="74">
        <f>B5</f>
        <v>0.2120866290878326</v>
      </c>
      <c r="C24" s="75">
        <f>B20</f>
        <v>1.9044171117720089E-2</v>
      </c>
      <c r="D24" s="76">
        <f>C24*B24</f>
        <v>4.0390140561291149E-3</v>
      </c>
    </row>
    <row r="25" spans="1:9" ht="14.25" customHeight="1" x14ac:dyDescent="0.3">
      <c r="A25" s="73" t="s">
        <v>606</v>
      </c>
      <c r="B25" s="74">
        <f>B6</f>
        <v>0.7879133709121674</v>
      </c>
      <c r="C25" s="75">
        <f>B13</f>
        <v>0.12779725493691604</v>
      </c>
      <c r="D25" s="76">
        <f>C25*B25</f>
        <v>0.10069316593066714</v>
      </c>
    </row>
    <row r="26" spans="1:9" ht="15" customHeight="1" x14ac:dyDescent="0.3">
      <c r="A26" s="293" t="s">
        <v>600</v>
      </c>
      <c r="B26" s="77">
        <f>B24+B25</f>
        <v>1</v>
      </c>
      <c r="C26" s="78"/>
      <c r="D26" s="79">
        <f>D24+D25</f>
        <v>0.10473217998679625</v>
      </c>
      <c r="F26" s="15" t="s">
        <v>607</v>
      </c>
      <c r="I26" s="80"/>
    </row>
  </sheetData>
  <mergeCells count="6">
    <mergeCell ref="A22:D22"/>
    <mergeCell ref="A1:B1"/>
    <mergeCell ref="A9:B9"/>
    <mergeCell ref="D10:J10"/>
    <mergeCell ref="D12:J12"/>
    <mergeCell ref="A15:B1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0"/>
  <sheetViews>
    <sheetView topLeftCell="A18" zoomScaleNormal="100" workbookViewId="0">
      <selection sqref="A1:I2"/>
    </sheetView>
  </sheetViews>
  <sheetFormatPr defaultColWidth="8.6640625" defaultRowHeight="14.4" x14ac:dyDescent="0.3"/>
  <cols>
    <col min="1" max="1" width="24.33203125" customWidth="1"/>
    <col min="2" max="3" width="7.109375" customWidth="1"/>
    <col min="4" max="4" width="7.6640625" customWidth="1"/>
    <col min="5" max="6" width="7.109375" customWidth="1"/>
    <col min="7" max="7" width="6.6640625" customWidth="1"/>
    <col min="8" max="8" width="7" customWidth="1"/>
    <col min="9" max="9" width="7.44140625" customWidth="1"/>
  </cols>
  <sheetData>
    <row r="1" spans="1:9" ht="14.25" customHeight="1" x14ac:dyDescent="0.3">
      <c r="A1" s="294" t="s">
        <v>608</v>
      </c>
      <c r="B1" s="294"/>
      <c r="C1" s="294"/>
      <c r="D1" s="294"/>
      <c r="E1" s="294"/>
      <c r="F1" s="294"/>
      <c r="G1" s="294"/>
      <c r="H1" s="294"/>
      <c r="I1" s="294"/>
    </row>
    <row r="2" spans="1:9" ht="14.25" customHeight="1" x14ac:dyDescent="0.3">
      <c r="A2" s="295" t="s">
        <v>502</v>
      </c>
      <c r="B2" s="296">
        <v>44621</v>
      </c>
      <c r="C2" s="296">
        <v>44986</v>
      </c>
      <c r="D2" s="296">
        <v>45352</v>
      </c>
      <c r="E2" s="296">
        <v>45717</v>
      </c>
      <c r="F2" s="296">
        <v>46082</v>
      </c>
      <c r="G2" s="297" t="s">
        <v>609</v>
      </c>
      <c r="H2" s="298" t="s">
        <v>610</v>
      </c>
      <c r="I2" s="298" t="s">
        <v>611</v>
      </c>
    </row>
    <row r="3" spans="1:9" ht="14.25" customHeight="1" x14ac:dyDescent="0.3">
      <c r="A3" s="14"/>
      <c r="B3" s="14"/>
      <c r="C3" s="14"/>
      <c r="D3" s="14"/>
      <c r="E3" s="14"/>
      <c r="F3" s="14"/>
      <c r="G3" s="14"/>
      <c r="H3" s="14"/>
      <c r="I3" s="14"/>
    </row>
    <row r="4" spans="1:9" ht="14.25" customHeight="1" x14ac:dyDescent="0.3">
      <c r="A4" s="14" t="s">
        <v>612</v>
      </c>
      <c r="B4" s="81"/>
      <c r="C4" s="82">
        <f>(Assumptions!C3-Assumptions!B3)/Assumptions!B3</f>
        <v>0.17134717124315979</v>
      </c>
      <c r="D4" s="82">
        <f>(Assumptions!D3-Assumptions!C3)/Assumptions!C3</f>
        <v>0.20602195802677742</v>
      </c>
      <c r="E4" s="82">
        <f>(Assumptions!E3-Assumptions!D3)/Assumptions!D3</f>
        <v>0.15657855527295991</v>
      </c>
      <c r="F4" s="82">
        <f>(Assumptions!F3-Assumptions!E3)/Assumptions!E3</f>
        <v>0.11785627630536274</v>
      </c>
      <c r="G4" s="26"/>
      <c r="H4" s="82">
        <f>AVERAGE(C4:F4)</f>
        <v>0.16295099021206497</v>
      </c>
      <c r="I4" s="82">
        <f>MEDIAN(B4:F4)</f>
        <v>0.16396286325805987</v>
      </c>
    </row>
    <row r="5" spans="1:9" ht="14.25" customHeight="1" x14ac:dyDescent="0.3">
      <c r="A5" s="14" t="s">
        <v>613</v>
      </c>
      <c r="B5" s="81"/>
      <c r="C5" s="82">
        <f>(Assumptions!C9-Assumptions!B9)/Assumptions!B9</f>
        <v>0.13920723707684338</v>
      </c>
      <c r="D5" s="82">
        <f>(Assumptions!D9-Assumptions!C9)/Assumptions!C9</f>
        <v>0.1320451514170288</v>
      </c>
      <c r="E5" s="82">
        <f>(Assumptions!E9-Assumptions!D9)/Assumptions!D9</f>
        <v>0.12518659297299595</v>
      </c>
      <c r="F5" s="82">
        <f>(Assumptions!F9-Assumptions!E9)/Assumptions!E9</f>
        <v>0.36738549348319499</v>
      </c>
      <c r="G5" s="26"/>
      <c r="H5" s="82">
        <f>AVERAGE(B5:F5)</f>
        <v>0.19095611873751578</v>
      </c>
      <c r="I5" s="82">
        <f>MEDIAN(B5:F5)</f>
        <v>0.13562619424693609</v>
      </c>
    </row>
    <row r="6" spans="1:9" ht="14.25" customHeight="1" x14ac:dyDescent="0.3">
      <c r="A6" s="14" t="s">
        <v>614</v>
      </c>
      <c r="B6" s="81"/>
      <c r="C6" s="82">
        <f>(Assumptions!C11-Assumptions!B11)/Assumptions!B11</f>
        <v>0.12978155586190504</v>
      </c>
      <c r="D6" s="82">
        <f>(Assumptions!D11-Assumptions!C11)/Assumptions!C11</f>
        <v>0.1484137468893158</v>
      </c>
      <c r="E6" s="82">
        <f>(Assumptions!E11-Assumptions!D11)/Assumptions!D11</f>
        <v>0.12630354766870799</v>
      </c>
      <c r="F6" s="82">
        <f>(Assumptions!F11-Assumptions!E11)/Assumptions!E11</f>
        <v>0.42432359515917467</v>
      </c>
      <c r="G6" s="26"/>
      <c r="H6" s="82">
        <f>AVERAGE(B6:F6)</f>
        <v>0.20720561139477589</v>
      </c>
      <c r="I6" s="82">
        <f>MEDIAN(B6:F6)</f>
        <v>0.13909765137561042</v>
      </c>
    </row>
    <row r="7" spans="1:9" ht="14.25" customHeight="1" x14ac:dyDescent="0.3">
      <c r="A7" s="14" t="s">
        <v>615</v>
      </c>
      <c r="B7" s="81"/>
      <c r="C7" s="82">
        <f>(Assumptions!C17-Assumptions!B17)/Assumptions!B17</f>
        <v>0.23504507822519582</v>
      </c>
      <c r="D7" s="82">
        <f>(Assumptions!D17-Assumptions!C17)/Assumptions!C17</f>
        <v>0.24538737249472109</v>
      </c>
      <c r="E7" s="82">
        <f>(Assumptions!E17-Assumptions!D17)/Assumptions!D17</f>
        <v>0.12228636631013806</v>
      </c>
      <c r="F7" s="82">
        <f>(Assumptions!F17-Assumptions!E17)/Assumptions!E17</f>
        <v>0.23569347417295736</v>
      </c>
      <c r="G7" s="26"/>
      <c r="H7" s="82">
        <f>AVERAGE(B7:F7)</f>
        <v>0.2096030728007531</v>
      </c>
      <c r="I7" s="82">
        <f>MEDIAN(B7:F7)</f>
        <v>0.2353692761990766</v>
      </c>
    </row>
    <row r="8" spans="1:9" ht="14.25" customHeight="1" x14ac:dyDescent="0.3">
      <c r="A8" s="14" t="s">
        <v>616</v>
      </c>
      <c r="B8" s="81"/>
      <c r="C8" s="81"/>
      <c r="D8" s="81"/>
      <c r="E8" s="81"/>
      <c r="F8" s="81"/>
      <c r="G8" s="26"/>
      <c r="H8" s="81"/>
      <c r="I8" s="81"/>
    </row>
    <row r="9" spans="1:9" ht="14.25" customHeight="1" x14ac:dyDescent="0.3">
      <c r="A9" s="14"/>
      <c r="B9" s="26"/>
      <c r="C9" s="26"/>
      <c r="D9" s="26"/>
      <c r="E9" s="26"/>
      <c r="F9" s="26"/>
      <c r="G9" s="26"/>
      <c r="H9" s="83"/>
      <c r="I9" s="83"/>
    </row>
    <row r="10" spans="1:9" ht="14.25" customHeight="1" x14ac:dyDescent="0.3">
      <c r="A10" s="14" t="s">
        <v>617</v>
      </c>
      <c r="B10" s="82">
        <f>(Assumptions!B3-Assumptions!B8)/Assumptions!B3</f>
        <v>0.11638868414208102</v>
      </c>
      <c r="C10" s="82">
        <f>(Assumptions!C3-Assumptions!C8)/Assumptions!C3</f>
        <v>0.11319516070354263</v>
      </c>
      <c r="D10" s="82">
        <f>(Assumptions!D3-Assumptions!D8)/Assumptions!D3</f>
        <v>0.1062518240115423</v>
      </c>
      <c r="E10" s="82">
        <f>(Assumptions!E3-Assumptions!E8)/Assumptions!E3</f>
        <v>0.10336792716038069</v>
      </c>
      <c r="F10" s="82">
        <f>(Assumptions!F3-Assumptions!F8)/Assumptions!F3</f>
        <v>0.12644183969489248</v>
      </c>
      <c r="G10" s="26"/>
      <c r="H10" s="82">
        <f>AVERAGE(B10:F10)</f>
        <v>0.11312908714248784</v>
      </c>
      <c r="I10" s="82">
        <f>MEDIAN(B10:F10)</f>
        <v>0.11319516070354263</v>
      </c>
    </row>
    <row r="11" spans="1:9" ht="14.25" customHeight="1" x14ac:dyDescent="0.3">
      <c r="A11" s="14" t="s">
        <v>53</v>
      </c>
      <c r="B11" s="82">
        <f>Assumptions!B28</f>
        <v>0.11638868414208102</v>
      </c>
      <c r="C11" s="82">
        <f>Assumptions!C28</f>
        <v>0.11319516070354263</v>
      </c>
      <c r="D11" s="82">
        <f>Assumptions!D28</f>
        <v>0.1062518240115423</v>
      </c>
      <c r="E11" s="82">
        <f>Assumptions!E28</f>
        <v>0.10336792716038069</v>
      </c>
      <c r="F11" s="82">
        <f>Assumptions!F28</f>
        <v>0.12644183969489248</v>
      </c>
      <c r="G11" s="26"/>
      <c r="H11" s="82">
        <f>AVERAGE(B11:F11)</f>
        <v>0.11312908714248784</v>
      </c>
      <c r="I11" s="82">
        <f>MEDIAN(B11:F11)</f>
        <v>0.11319516070354263</v>
      </c>
    </row>
    <row r="12" spans="1:9" ht="14.25" customHeight="1" x14ac:dyDescent="0.3">
      <c r="A12" s="14" t="s">
        <v>618</v>
      </c>
      <c r="B12" s="82">
        <f>Assumptions!B29</f>
        <v>9.7554497878658483E-2</v>
      </c>
      <c r="C12" s="82">
        <f>Assumptions!C29</f>
        <v>9.4092746455096979E-2</v>
      </c>
      <c r="D12" s="82">
        <f>Assumptions!D29</f>
        <v>8.9598205731180477E-2</v>
      </c>
      <c r="E12" s="82">
        <f>Assumptions!E29</f>
        <v>8.7252851541902224E-2</v>
      </c>
      <c r="F12" s="82">
        <f>Assumptions!F29</f>
        <v>0.11117376878430085</v>
      </c>
      <c r="G12" s="26"/>
      <c r="H12" s="82">
        <f>AVERAGE(B12:F12)</f>
        <v>9.5934414078227809E-2</v>
      </c>
      <c r="I12" s="82">
        <f>MEDIAN(B12:F12)</f>
        <v>9.4092746455096979E-2</v>
      </c>
    </row>
    <row r="13" spans="1:9" ht="14.25" customHeight="1" x14ac:dyDescent="0.3">
      <c r="A13" s="14" t="s">
        <v>619</v>
      </c>
      <c r="B13" s="82">
        <f>Assumptions!B30</f>
        <v>9.2068852257294512E-2</v>
      </c>
      <c r="C13" s="82">
        <f>Assumptions!C30</f>
        <v>9.2576498289795972E-2</v>
      </c>
      <c r="D13" s="82">
        <f>Assumptions!D30</f>
        <v>9.236683647282283E-2</v>
      </c>
      <c r="E13" s="82">
        <f>Assumptions!E30</f>
        <v>9.0343753061036633E-2</v>
      </c>
      <c r="F13" s="82">
        <f>Assumptions!F30</f>
        <v>9.688959163738918E-2</v>
      </c>
      <c r="G13" s="26"/>
      <c r="H13" s="82">
        <f>AVERAGE(B13:F13)</f>
        <v>9.2849106343667831E-2</v>
      </c>
      <c r="I13" s="82">
        <f>MEDIAN(B13:F13)</f>
        <v>9.236683647282283E-2</v>
      </c>
    </row>
    <row r="14" spans="1:9" ht="14.25" customHeight="1" x14ac:dyDescent="0.3">
      <c r="A14" s="14" t="s">
        <v>620</v>
      </c>
      <c r="B14" s="82">
        <f>Assumptions!B31</f>
        <v>5.3949294929512205E-2</v>
      </c>
      <c r="C14" s="82">
        <f>Assumptions!C31</f>
        <v>5.6883059789779339E-2</v>
      </c>
      <c r="D14" s="82">
        <f>Assumptions!D31</f>
        <v>5.873976331820694E-2</v>
      </c>
      <c r="E14" s="82">
        <f>Assumptions!E31</f>
        <v>5.6998147883478435E-2</v>
      </c>
      <c r="F14" s="82">
        <f>Assumptions!F31</f>
        <v>6.3006524964323435E-2</v>
      </c>
      <c r="G14" s="26"/>
      <c r="H14" s="82">
        <f>AVERAGE(B14:F14)</f>
        <v>5.7915358177060061E-2</v>
      </c>
      <c r="I14" s="82">
        <f>MEDIAN(B14:F14)</f>
        <v>5.6998147883478435E-2</v>
      </c>
    </row>
    <row r="15" spans="1:9" ht="14.25" customHeight="1" x14ac:dyDescent="0.3">
      <c r="A15" s="14"/>
      <c r="B15" s="26"/>
      <c r="C15" s="26"/>
      <c r="D15" s="26"/>
      <c r="E15" s="26"/>
      <c r="F15" s="26"/>
      <c r="G15" s="26"/>
      <c r="H15" s="83"/>
      <c r="I15" s="83"/>
    </row>
    <row r="16" spans="1:9" ht="14.25" customHeight="1" x14ac:dyDescent="0.3">
      <c r="A16" s="14" t="s">
        <v>621</v>
      </c>
      <c r="B16" s="82">
        <f>Assumptions!B8/Assumptions!B3</f>
        <v>0.88361131585791897</v>
      </c>
      <c r="C16" s="82">
        <f>Assumptions!C8/Assumptions!C3</f>
        <v>0.88680483929645737</v>
      </c>
      <c r="D16" s="82">
        <f>Assumptions!D8/Assumptions!D3</f>
        <v>0.89374817598845768</v>
      </c>
      <c r="E16" s="82">
        <f>Assumptions!E8/Assumptions!E3</f>
        <v>0.89663207283961932</v>
      </c>
      <c r="F16" s="82">
        <f>Assumptions!F8/Assumptions!F3</f>
        <v>0.87355816030510747</v>
      </c>
      <c r="G16" s="26"/>
      <c r="H16" s="82">
        <f>AVERAGE(B16:F16)</f>
        <v>0.88687091285751229</v>
      </c>
      <c r="I16" s="82">
        <f>MEDIAN(B16:F16)</f>
        <v>0.88680483929645737</v>
      </c>
    </row>
    <row r="17" spans="1:9" ht="14.25" customHeight="1" x14ac:dyDescent="0.3">
      <c r="A17" s="14" t="s">
        <v>622</v>
      </c>
      <c r="B17" s="82">
        <f>Assumptions!B10/Assumptions!B3</f>
        <v>1.8834186263422537E-2</v>
      </c>
      <c r="C17" s="82">
        <f>Assumptions!C10/Assumptions!C3</f>
        <v>1.9102414248445651E-2</v>
      </c>
      <c r="D17" s="82">
        <f>Assumptions!D10/Assumptions!D3</f>
        <v>1.6653618280361829E-2</v>
      </c>
      <c r="E17" s="82">
        <f>Assumptions!E10/Assumptions!E3</f>
        <v>1.6115075618478466E-2</v>
      </c>
      <c r="F17" s="82">
        <f>Assumptions!F10/Assumptions!F3</f>
        <v>1.5268070910591633E-2</v>
      </c>
      <c r="G17" s="26"/>
      <c r="H17" s="82">
        <f>AVERAGE(B17:F17)</f>
        <v>1.7194673064260025E-2</v>
      </c>
      <c r="I17" s="82">
        <f>MEDIAN(B17:F17)</f>
        <v>1.6653618280361829E-2</v>
      </c>
    </row>
    <row r="18" spans="1:9" ht="14.25" customHeight="1" x14ac:dyDescent="0.3">
      <c r="A18" s="14" t="s">
        <v>623</v>
      </c>
      <c r="B18" s="82">
        <f>Assumptions!B9/Assumptions!B3</f>
        <v>0.11638868414208102</v>
      </c>
      <c r="C18" s="82">
        <f>Assumptions!C9/Assumptions!C3</f>
        <v>0.11319516070354263</v>
      </c>
      <c r="D18" s="82">
        <f>Assumptions!D9/Assumptions!D3</f>
        <v>0.1062518240115423</v>
      </c>
      <c r="E18" s="82">
        <f>Assumptions!E9/Assumptions!E3</f>
        <v>0.10336792716038069</v>
      </c>
      <c r="F18" s="82">
        <f>Assumptions!F9/Assumptions!F3</f>
        <v>0.12644183969489248</v>
      </c>
      <c r="G18" s="26"/>
      <c r="H18" s="82">
        <f>AVERAGE(B18:F18)</f>
        <v>0.11312908714248784</v>
      </c>
      <c r="I18" s="82">
        <f>MEDIAN(B18:F18)</f>
        <v>0.11319516070354263</v>
      </c>
    </row>
    <row r="19" spans="1:9" ht="14.25" customHeight="1" x14ac:dyDescent="0.3">
      <c r="A19" s="14"/>
      <c r="B19" s="26"/>
      <c r="C19" s="26"/>
      <c r="D19" s="26"/>
      <c r="E19" s="26"/>
      <c r="F19" s="26"/>
      <c r="G19" s="26"/>
      <c r="H19" s="83"/>
      <c r="I19" s="83"/>
    </row>
    <row r="20" spans="1:9" ht="14.25" customHeight="1" x14ac:dyDescent="0.3">
      <c r="A20" s="14" t="s">
        <v>624</v>
      </c>
      <c r="B20" s="82">
        <f>Assumptions!B44</f>
        <v>8.1688036638884853E-2</v>
      </c>
      <c r="C20" s="82">
        <f>Assumptions!C44</f>
        <v>9.3087929709373088E-2</v>
      </c>
      <c r="D20" s="82">
        <f>Assumptions!D44</f>
        <v>0.1070647082786471</v>
      </c>
      <c r="E20" s="82">
        <f>Assumptions!E44</f>
        <v>0.10924652973616604</v>
      </c>
      <c r="F20" s="82">
        <f>Assumptions!F44</f>
        <v>0.15125143277708536</v>
      </c>
      <c r="G20" s="26"/>
      <c r="H20" s="82">
        <f>AVERAGE(B20:F20)</f>
        <v>0.10846772742803128</v>
      </c>
      <c r="I20" s="82">
        <f>MEDIAN(B20:F20)</f>
        <v>0.1070647082786471</v>
      </c>
    </row>
    <row r="21" spans="1:9" ht="14.25" customHeight="1" x14ac:dyDescent="0.3">
      <c r="A21" s="14" t="s">
        <v>625</v>
      </c>
      <c r="B21" s="82">
        <f>Assumptions!B17/Assumptions!B3</f>
        <v>5.3949294929512205E-2</v>
      </c>
      <c r="C21" s="82">
        <f>Assumptions!C17/Assumptions!C3</f>
        <v>5.6883059789779339E-2</v>
      </c>
      <c r="D21" s="82">
        <f>Assumptions!D17/Assumptions!D3</f>
        <v>5.873976331820694E-2</v>
      </c>
      <c r="E21" s="82">
        <f>Assumptions!E17/Assumptions!E3</f>
        <v>5.6998147883478435E-2</v>
      </c>
      <c r="F21" s="82">
        <f>Assumptions!F17/Assumptions!F3</f>
        <v>6.3006524964323435E-2</v>
      </c>
      <c r="G21" s="26"/>
      <c r="H21" s="82">
        <f>AVERAGE(B21:F21)</f>
        <v>5.7915358177060061E-2</v>
      </c>
      <c r="I21" s="82">
        <f>MEDIAN(B21:F21)</f>
        <v>5.6998147883478435E-2</v>
      </c>
    </row>
    <row r="22" spans="1:9" ht="14.25" customHeight="1" x14ac:dyDescent="0.3">
      <c r="A22" s="14" t="s">
        <v>626</v>
      </c>
      <c r="B22" s="82">
        <f>Assumptions!B17/Assumptions!B39</f>
        <v>0.1022013037240945</v>
      </c>
      <c r="C22" s="82">
        <f>Assumptions!C17/Assumptions!C39</f>
        <v>0.11675196289544078</v>
      </c>
      <c r="D22" s="82">
        <f>Assumptions!D17/Assumptions!D39</f>
        <v>0.15039641386376248</v>
      </c>
      <c r="E22" s="82">
        <f>Assumptions!E17/Assumptions!E39</f>
        <v>0.14926322709603979</v>
      </c>
      <c r="F22" s="82">
        <f>Assumptions!F17/Assumptions!F39</f>
        <v>0.1648090672688575</v>
      </c>
      <c r="G22" s="26"/>
      <c r="H22" s="82">
        <f>AVERAGE(B22:F22)</f>
        <v>0.13668439496963899</v>
      </c>
      <c r="I22" s="82">
        <f>MEDIAN(B22:F22)</f>
        <v>0.14926322709603979</v>
      </c>
    </row>
    <row r="23" spans="1:9" ht="14.25" customHeight="1" x14ac:dyDescent="0.3">
      <c r="A23" s="14" t="s">
        <v>627</v>
      </c>
      <c r="B23" s="82">
        <f>B22*B21</f>
        <v>5.5136882767918283E-3</v>
      </c>
      <c r="C23" s="82">
        <f>C22*C21</f>
        <v>6.6412088859554566E-3</v>
      </c>
      <c r="D23" s="82">
        <f>D22*D21</f>
        <v>8.8342497542645056E-3</v>
      </c>
      <c r="E23" s="82">
        <f>E22*E21</f>
        <v>8.5077274915853016E-3</v>
      </c>
      <c r="F23" s="82">
        <f>F22*F21</f>
        <v>1.0384046611222129E-2</v>
      </c>
      <c r="G23" s="26"/>
      <c r="H23" s="82">
        <f>AVERAGE(B23:F23)</f>
        <v>7.9761842039638448E-3</v>
      </c>
      <c r="I23" s="82">
        <f>MEDIAN(B23:F23)</f>
        <v>8.5077274915853016E-3</v>
      </c>
    </row>
    <row r="24" spans="1:9" ht="14.25" customHeight="1" x14ac:dyDescent="0.3">
      <c r="A24" s="14" t="s">
        <v>628</v>
      </c>
      <c r="B24" s="84">
        <f>IF(Assumptions!B13=0,"",Assumptions!B11/Assumptions!B13)</f>
        <v>4.88509773810667</v>
      </c>
      <c r="C24" s="84">
        <f>IF(Assumptions!C13=0,"",Assumptions!C11/Assumptions!C13)</f>
        <v>5.3789115603836413</v>
      </c>
      <c r="D24" s="84">
        <f>IF(Assumptions!D13=0,"",Assumptions!D11/Assumptions!D13)</f>
        <v>5.5871850191068413</v>
      </c>
      <c r="E24" s="84">
        <f>IF(Assumptions!E13=0,"",Assumptions!E11/Assumptions!E13)</f>
        <v>6.6919867921076603</v>
      </c>
      <c r="F24" s="84">
        <f>IF(Assumptions!F13=0,"",Assumptions!F11/Assumptions!F13)</f>
        <v>3.2284857214835987</v>
      </c>
      <c r="G24" s="26"/>
      <c r="H24" s="84">
        <f>AVERAGE(B24:F24)</f>
        <v>5.1543333662376813</v>
      </c>
      <c r="I24" s="84">
        <f>MEDIAN(B24:F24)</f>
        <v>5.3789115603836413</v>
      </c>
    </row>
    <row r="25" spans="1:9" ht="14.25" customHeight="1" x14ac:dyDescent="0.3">
      <c r="A25" s="14"/>
      <c r="B25" s="26"/>
      <c r="C25" s="26"/>
      <c r="D25" s="26"/>
      <c r="E25" s="26"/>
      <c r="F25" s="26"/>
      <c r="G25" s="26"/>
      <c r="H25" s="83"/>
      <c r="I25" s="83"/>
    </row>
    <row r="26" spans="1:9" ht="14.25" customHeight="1" x14ac:dyDescent="0.3">
      <c r="A26" s="14" t="s">
        <v>629</v>
      </c>
      <c r="B26" s="84">
        <f>Assumptions!B3/'Consolidated Balance sheet'!B42</f>
        <v>3.392390415727113</v>
      </c>
      <c r="C26" s="84">
        <f>Assumptions!C3/'Consolidated Balance sheet'!C42</f>
        <v>4.0986905656927011</v>
      </c>
      <c r="D26" s="84">
        <f>Assumptions!D3/'Consolidated Balance sheet'!D42</f>
        <v>4.5337011069089286</v>
      </c>
      <c r="E26" s="84">
        <f>Assumptions!E3/'Consolidated Balance sheet'!E42</f>
        <v>4.7610673854407297</v>
      </c>
      <c r="F26" s="84">
        <f>Assumptions!F3/'Consolidated Balance sheet'!F42</f>
        <v>4.728223659248914</v>
      </c>
      <c r="G26" s="26"/>
      <c r="H26" s="84">
        <f>AVERAGE(B26:F26)</f>
        <v>4.3028146266036771</v>
      </c>
      <c r="I26" s="84">
        <f>MEDIAN(B26:F26)</f>
        <v>4.5337011069089286</v>
      </c>
    </row>
    <row r="27" spans="1:9" ht="14.25" customHeight="1" x14ac:dyDescent="0.3">
      <c r="A27" s="14" t="s">
        <v>630</v>
      </c>
      <c r="B27" s="84">
        <f>Assumptions!B8/'Consolidated Balance sheet'!B22</f>
        <v>2.7041936687298511</v>
      </c>
      <c r="C27" s="84">
        <f>Assumptions!C8/'Consolidated Balance sheet'!C22</f>
        <v>3.2658490297709393</v>
      </c>
      <c r="D27" s="84">
        <f>Assumptions!D8/'Consolidated Balance sheet'!D22</f>
        <v>3.7081737748081922</v>
      </c>
      <c r="E27" s="84">
        <f>Assumptions!E8/'Consolidated Balance sheet'!E22</f>
        <v>4.3709987582764098</v>
      </c>
      <c r="F27" s="84">
        <f>Assumptions!F8/'Consolidated Balance sheet'!F22</f>
        <v>3.5955023372475345</v>
      </c>
      <c r="G27" s="26"/>
      <c r="H27" s="84">
        <f>AVERAGE(B27:F27)</f>
        <v>3.5289435137665857</v>
      </c>
      <c r="I27" s="84">
        <f>MEDIAN(B27:F27)</f>
        <v>3.5955023372475345</v>
      </c>
    </row>
    <row r="28" spans="1:9" ht="14.25" customHeight="1" x14ac:dyDescent="0.3">
      <c r="A28" s="14" t="s">
        <v>631</v>
      </c>
      <c r="B28" s="84">
        <f>Assumptions!B8/'Consolidated Balance sheet'!B41</f>
        <v>23.270483500804264</v>
      </c>
      <c r="C28" s="84">
        <f>Assumptions!C8/'Consolidated Balance sheet'!C41</f>
        <v>23.809145996795916</v>
      </c>
      <c r="D28" s="84">
        <f>Assumptions!D8/'Consolidated Balance sheet'!D41</f>
        <v>29.850995213128328</v>
      </c>
      <c r="E28" s="84">
        <f>Assumptions!E8/'Consolidated Balance sheet'!E41</f>
        <v>29.893516110318032</v>
      </c>
      <c r="F28" s="84">
        <f>Assumptions!F8/'Consolidated Balance sheet'!F41</f>
        <v>26.201837596121258</v>
      </c>
      <c r="G28" s="26"/>
      <c r="H28" s="84">
        <f>AVERAGE(B28:F28)</f>
        <v>26.605195683433561</v>
      </c>
      <c r="I28" s="84">
        <f>MEDIAN(B28:F28)</f>
        <v>26.201837596121258</v>
      </c>
    </row>
    <row r="29" spans="1:9" ht="14.25" customHeight="1" x14ac:dyDescent="0.3">
      <c r="A29" s="14" t="s">
        <v>632</v>
      </c>
      <c r="B29" s="84">
        <f>Assumptions!B3/'Consolidated Balance sheet'!B33</f>
        <v>4.2871499633381989</v>
      </c>
      <c r="C29" s="84">
        <f>Assumptions!C3/'Consolidated Balance sheet'!C33</f>
        <v>4.8364748052649693</v>
      </c>
      <c r="D29" s="84">
        <f>Assumptions!D3/'Consolidated Balance sheet'!D33</f>
        <v>5.7870916916505601</v>
      </c>
      <c r="E29" s="84">
        <f>Assumptions!E3/'Consolidated Balance sheet'!E33</f>
        <v>6.6778981424783233</v>
      </c>
      <c r="F29" s="84">
        <f>Assumptions!F3/'Consolidated Balance sheet'!F33</f>
        <v>11.125108965019114</v>
      </c>
      <c r="G29" s="26"/>
      <c r="H29" s="84">
        <f>AVERAGE(B29:F29)</f>
        <v>6.542744713550233</v>
      </c>
      <c r="I29" s="84">
        <f>MEDIAN(B29:F29)</f>
        <v>5.7870916916505601</v>
      </c>
    </row>
    <row r="30" spans="1:9" ht="14.25" customHeight="1" x14ac:dyDescent="0.3">
      <c r="A30" s="14" t="s">
        <v>633</v>
      </c>
      <c r="B30" s="84">
        <f>Assumptions!B3/Assumptions!B42</f>
        <v>0.83735797339135654</v>
      </c>
      <c r="C30" s="84">
        <f>Assumptions!C3/Assumptions!C42</f>
        <v>0.98932099674438334</v>
      </c>
      <c r="D30" s="84">
        <f>Assumptions!D3/Assumptions!D42</f>
        <v>1.1949425482902079</v>
      </c>
      <c r="E30" s="84">
        <f>Assumptions!E3/Assumptions!E42</f>
        <v>1.2520683027041424</v>
      </c>
      <c r="F30" s="84">
        <f>Assumptions!F3/Assumptions!F42</f>
        <v>1.3604956855473986</v>
      </c>
      <c r="G30" s="26"/>
      <c r="H30" s="84">
        <f>AVERAGE(B30:F30)</f>
        <v>1.1268371013354979</v>
      </c>
      <c r="I30" s="84">
        <f>MEDIAN(B30:F30)</f>
        <v>1.1949425482902079</v>
      </c>
    </row>
    <row r="31" spans="1:9" ht="14.25" customHeight="1" x14ac:dyDescent="0.3">
      <c r="A31" s="14"/>
      <c r="B31" s="26"/>
      <c r="C31" s="26"/>
      <c r="D31" s="26"/>
      <c r="E31" s="26"/>
      <c r="F31" s="26"/>
      <c r="G31" s="26"/>
      <c r="H31" s="83"/>
      <c r="I31" s="83"/>
    </row>
    <row r="32" spans="1:9" ht="14.25" customHeight="1" x14ac:dyDescent="0.3">
      <c r="A32" s="85" t="s">
        <v>634</v>
      </c>
      <c r="B32" s="26"/>
      <c r="C32" s="26"/>
      <c r="D32" s="26"/>
      <c r="E32" s="26"/>
      <c r="F32" s="26"/>
      <c r="G32" s="26"/>
      <c r="H32" s="83"/>
      <c r="I32" s="83"/>
    </row>
    <row r="33" spans="1:9" ht="14.25" customHeight="1" x14ac:dyDescent="0.3">
      <c r="A33" s="14" t="s">
        <v>635</v>
      </c>
      <c r="B33" s="84">
        <f t="shared" ref="B33:F35" si="0">365/B26</f>
        <v>107.59374814521965</v>
      </c>
      <c r="C33" s="84">
        <f t="shared" si="0"/>
        <v>89.052831422591908</v>
      </c>
      <c r="D33" s="84">
        <f t="shared" si="0"/>
        <v>80.508174533997135</v>
      </c>
      <c r="E33" s="84">
        <f t="shared" si="0"/>
        <v>76.663481200909771</v>
      </c>
      <c r="F33" s="84">
        <f t="shared" si="0"/>
        <v>77.196009813541863</v>
      </c>
      <c r="G33" s="26"/>
      <c r="H33" s="84">
        <f>AVERAGE(B33:F33)</f>
        <v>86.202849023252071</v>
      </c>
      <c r="I33" s="84">
        <f>MEDIAN(B33:F33)</f>
        <v>80.508174533997135</v>
      </c>
    </row>
    <row r="34" spans="1:9" ht="14.25" customHeight="1" x14ac:dyDescent="0.3">
      <c r="A34" s="14" t="s">
        <v>636</v>
      </c>
      <c r="B34" s="84">
        <f t="shared" si="0"/>
        <v>134.97553974062777</v>
      </c>
      <c r="C34" s="84">
        <f t="shared" si="0"/>
        <v>111.76266773899235</v>
      </c>
      <c r="D34" s="84">
        <f t="shared" si="0"/>
        <v>98.431201493214772</v>
      </c>
      <c r="E34" s="84">
        <f t="shared" si="0"/>
        <v>83.504942505160599</v>
      </c>
      <c r="F34" s="84">
        <f t="shared" si="0"/>
        <v>101.51571762832408</v>
      </c>
      <c r="G34" s="26"/>
      <c r="H34" s="84">
        <f>AVERAGE(B34:F34)</f>
        <v>106.03801382126392</v>
      </c>
      <c r="I34" s="84">
        <f>MEDIAN(B34:F34)</f>
        <v>101.51571762832408</v>
      </c>
    </row>
    <row r="35" spans="1:9" ht="14.25" customHeight="1" x14ac:dyDescent="0.3">
      <c r="A35" s="14" t="s">
        <v>637</v>
      </c>
      <c r="B35" s="84">
        <f t="shared" si="0"/>
        <v>15.685105983611601</v>
      </c>
      <c r="C35" s="84">
        <f t="shared" si="0"/>
        <v>15.330243262363101</v>
      </c>
      <c r="D35" s="84">
        <f t="shared" si="0"/>
        <v>12.227398027904767</v>
      </c>
      <c r="E35" s="84">
        <f t="shared" si="0"/>
        <v>12.210005629749816</v>
      </c>
      <c r="F35" s="84">
        <f t="shared" si="0"/>
        <v>13.930320675448813</v>
      </c>
      <c r="G35" s="26"/>
      <c r="H35" s="84">
        <f>AVERAGE(B35:F35)</f>
        <v>13.87661471581562</v>
      </c>
      <c r="I35" s="84">
        <f>MEDIAN(B35:F35)</f>
        <v>13.930320675448813</v>
      </c>
    </row>
    <row r="36" spans="1:9" ht="14.25" customHeight="1" x14ac:dyDescent="0.3">
      <c r="A36" s="14" t="s">
        <v>638</v>
      </c>
      <c r="B36" s="84">
        <f>B33+B35-B34</f>
        <v>-11.696685611796511</v>
      </c>
      <c r="C36" s="84">
        <f>C33+C35-C34</f>
        <v>-7.3795930540373433</v>
      </c>
      <c r="D36" s="84">
        <f>D33+D35-D34</f>
        <v>-5.6956289313128678</v>
      </c>
      <c r="E36" s="84">
        <f>E33+E35-E34</f>
        <v>5.3685443254989877</v>
      </c>
      <c r="F36" s="84">
        <f>F33+F35-F34</f>
        <v>-10.389387139333408</v>
      </c>
      <c r="G36" s="26"/>
      <c r="H36" s="84">
        <f>AVERAGE(B36:F36)</f>
        <v>-5.9585500821962283</v>
      </c>
      <c r="I36" s="84">
        <f>MEDIAN(B36:F36)</f>
        <v>-7.3795930540373433</v>
      </c>
    </row>
    <row r="37" spans="1:9" ht="14.25" customHeight="1" x14ac:dyDescent="0.3">
      <c r="A37" s="14"/>
      <c r="B37" s="26"/>
      <c r="C37" s="26"/>
      <c r="D37" s="26"/>
      <c r="E37" s="26"/>
      <c r="F37" s="26"/>
      <c r="G37" s="26"/>
      <c r="H37" s="83"/>
      <c r="I37" s="83"/>
    </row>
    <row r="38" spans="1:9" ht="14.25" customHeight="1" x14ac:dyDescent="0.3">
      <c r="A38" s="14" t="s">
        <v>639</v>
      </c>
      <c r="B38" s="82">
        <f>(Assumptions!B17+Assumptions!B10)/Assumptions!B3</f>
        <v>7.2783481192934749E-2</v>
      </c>
      <c r="C38" s="82">
        <f>(Assumptions!C17+Assumptions!C10)/Assumptions!C3</f>
        <v>7.598547403822499E-2</v>
      </c>
      <c r="D38" s="82">
        <f>(Assumptions!D17+Assumptions!D10)/Assumptions!D3</f>
        <v>7.5393381598568773E-2</v>
      </c>
      <c r="E38" s="82">
        <f>(Assumptions!E17+Assumptions!E10)/Assumptions!E3</f>
        <v>7.3113223501956898E-2</v>
      </c>
      <c r="F38" s="82">
        <f>(Assumptions!F17+Assumptions!F10)/Assumptions!F3</f>
        <v>7.8274595874915059E-2</v>
      </c>
      <c r="G38" s="26"/>
      <c r="H38" s="82">
        <f>AVERAGE(B38:F38)</f>
        <v>7.5110031241320097E-2</v>
      </c>
      <c r="I38" s="82">
        <f>MEDIAN(B38:F38)</f>
        <v>7.5393381598568773E-2</v>
      </c>
    </row>
    <row r="39" spans="1:9" ht="14.25" customHeight="1" x14ac:dyDescent="0.3">
      <c r="A39" s="14" t="s">
        <v>640</v>
      </c>
      <c r="B39" s="82">
        <f>(Assumptions!B17+Assumptions!B10)/'Consolidated Balance sheet'!B47</f>
        <v>3.5595058405446314E-2</v>
      </c>
      <c r="C39" s="82">
        <f>(Assumptions!C17+Assumptions!C10)/'Consolidated Balance sheet'!C47</f>
        <v>4.2170826654731118E-2</v>
      </c>
      <c r="D39" s="82">
        <f>(Assumptions!D17+Assumptions!D10)/'Consolidated Balance sheet'!D47</f>
        <v>4.9084549284091561E-2</v>
      </c>
      <c r="E39" s="82">
        <f>(Assumptions!E17+Assumptions!E10)/'Consolidated Balance sheet'!E47</f>
        <v>4.9265830549364384E-2</v>
      </c>
      <c r="F39" s="82">
        <f>(Assumptions!F17+Assumptions!F10)/'Consolidated Balance sheet'!F47</f>
        <v>4.9445820204393781E-2</v>
      </c>
      <c r="G39" s="26"/>
      <c r="H39" s="82">
        <f>AVERAGE(B39:F39)</f>
        <v>4.511241701960543E-2</v>
      </c>
      <c r="I39" s="82">
        <f>MEDIAN(B39:F39)</f>
        <v>4.9084549284091561E-2</v>
      </c>
    </row>
    <row r="40" spans="1:9" ht="14.25" customHeight="1" x14ac:dyDescent="0.3">
      <c r="A40" s="14" t="s">
        <v>641</v>
      </c>
      <c r="B40" s="84">
        <f>IF(Assumptions!B40=0,"",(Assumptions!B17+Assumptions!B10)/Assumptions!B40)</f>
        <v>9.2429383628318484E-2</v>
      </c>
      <c r="C40" s="84">
        <f>IF(Assumptions!C40=0,"",(Assumptions!C17+Assumptions!C10)/Assumptions!C40)</f>
        <v>0.11754984964566868</v>
      </c>
      <c r="D40" s="84">
        <f>IF(Assumptions!D40=0,"",(Assumptions!D17+Assumptions!D10)/Assumptions!D40)</f>
        <v>0.14618102088420551</v>
      </c>
      <c r="E40" s="84">
        <f>IF(Assumptions!E40=0,"",(Assumptions!E17+Assumptions!E10)/Assumptions!E40)</f>
        <v>0.14431665057880058</v>
      </c>
      <c r="F40" s="84">
        <f>IF(Assumptions!F40=0,"",(Assumptions!F17+Assumptions!F10)/Assumptions!F40)</f>
        <v>0.18389336490826727</v>
      </c>
      <c r="G40" s="26"/>
      <c r="H40" s="84">
        <f>AVERAGE(B40:F40)</f>
        <v>0.13687405392905211</v>
      </c>
      <c r="I40" s="84">
        <f>MEDIAN(B40:F40)</f>
        <v>0.14431665057880058</v>
      </c>
    </row>
  </sheetData>
  <mergeCells count="1">
    <mergeCell ref="A1:I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3"/>
  <sheetViews>
    <sheetView zoomScaleNormal="100" workbookViewId="0">
      <selection sqref="A1:F1"/>
    </sheetView>
  </sheetViews>
  <sheetFormatPr defaultColWidth="8.6640625" defaultRowHeight="14.4" x14ac:dyDescent="0.3"/>
  <cols>
    <col min="1" max="1" width="39.88671875" customWidth="1"/>
    <col min="2" max="5" width="8.88671875" customWidth="1"/>
    <col min="6" max="6" width="9.44140625" customWidth="1"/>
    <col min="9" max="9" width="20.77734375" customWidth="1"/>
    <col min="10" max="10" width="6.77734375" customWidth="1"/>
  </cols>
  <sheetData>
    <row r="1" spans="1:10" ht="14.25" customHeight="1" x14ac:dyDescent="0.3">
      <c r="A1" s="299" t="s">
        <v>642</v>
      </c>
      <c r="B1" s="296">
        <v>44621</v>
      </c>
      <c r="C1" s="296">
        <v>44986</v>
      </c>
      <c r="D1" s="296">
        <v>45352</v>
      </c>
      <c r="E1" s="296">
        <v>45717</v>
      </c>
      <c r="F1" s="296">
        <v>46082</v>
      </c>
    </row>
    <row r="2" spans="1:10" ht="14.25" customHeight="1" x14ac:dyDescent="0.3">
      <c r="A2" s="86" t="s">
        <v>643</v>
      </c>
      <c r="B2" s="84">
        <f>Assumptions!B11</f>
        <v>15269.350000000017</v>
      </c>
      <c r="C2" s="84">
        <f>Assumptions!C11</f>
        <v>17251.03</v>
      </c>
      <c r="D2" s="84">
        <f>Assumptions!D11</f>
        <v>19811.319999999992</v>
      </c>
      <c r="E2" s="84">
        <f>Assumptions!E11</f>
        <v>22313.560000000019</v>
      </c>
      <c r="F2" s="84">
        <f>Assumptions!F11</f>
        <v>31781.729999999981</v>
      </c>
    </row>
    <row r="3" spans="1:10" ht="14.25" customHeight="1" x14ac:dyDescent="0.3">
      <c r="A3" s="26" t="s">
        <v>644</v>
      </c>
      <c r="B3" s="84">
        <f>B2*$J$5</f>
        <v>3970.4136491275767</v>
      </c>
      <c r="C3" s="84">
        <f>C2*$J$5</f>
        <v>4485.7001099266972</v>
      </c>
      <c r="D3" s="84">
        <f>D2*$J$5</f>
        <v>5151.4396706627349</v>
      </c>
      <c r="E3" s="84">
        <f>E2*$J$5</f>
        <v>5802.0847766687584</v>
      </c>
      <c r="F3" s="84">
        <f>F2*$J$5</f>
        <v>8264.0462485231637</v>
      </c>
    </row>
    <row r="4" spans="1:10" ht="14.25" customHeight="1" x14ac:dyDescent="0.3">
      <c r="A4" s="86" t="s">
        <v>645</v>
      </c>
      <c r="B4" s="84">
        <f>B2-B3</f>
        <v>11298.93635087244</v>
      </c>
      <c r="C4" s="84">
        <f>C2-C3</f>
        <v>12765.329890073303</v>
      </c>
      <c r="D4" s="84">
        <f>D2-D3</f>
        <v>14659.880329337258</v>
      </c>
      <c r="E4" s="84">
        <f>E2-E3</f>
        <v>16511.475223331261</v>
      </c>
      <c r="F4" s="84">
        <f>F2-F3</f>
        <v>23517.683751476819</v>
      </c>
    </row>
    <row r="5" spans="1:10" ht="14.25" customHeight="1" x14ac:dyDescent="0.3">
      <c r="A5" s="26" t="s">
        <v>646</v>
      </c>
      <c r="B5" s="87"/>
      <c r="C5" s="84">
        <f>'Fixed Assets scheduled'!C8</f>
        <v>1398.5299999999988</v>
      </c>
      <c r="D5" s="84">
        <f>'Fixed Assets scheduled'!D8</f>
        <v>300.02999999999884</v>
      </c>
      <c r="E5" s="84">
        <f>'Fixed Assets scheduled'!E8</f>
        <v>87.700000000004366</v>
      </c>
      <c r="F5" s="84">
        <f>'Fixed Assets scheduled'!F8</f>
        <v>-12599.330000000002</v>
      </c>
      <c r="I5" s="15" t="s">
        <v>647</v>
      </c>
      <c r="J5" s="88">
        <f>AVERAGE(Assumptions!B34:F34)</f>
        <v>0.26002505994869279</v>
      </c>
    </row>
    <row r="6" spans="1:10" ht="14.25" customHeight="1" x14ac:dyDescent="0.3">
      <c r="A6" s="26" t="s">
        <v>648</v>
      </c>
      <c r="B6" s="87"/>
      <c r="C6" s="84">
        <f>'Change in working capital'!C6</f>
        <v>838.18999999999505</v>
      </c>
      <c r="D6" s="84">
        <f>'Change in working capital'!D6</f>
        <v>322.07000000000698</v>
      </c>
      <c r="E6" s="84">
        <f>'Change in working capital'!E6</f>
        <v>6826.6300000000047</v>
      </c>
      <c r="F6" s="84">
        <f>'Change in working capital'!F6</f>
        <v>-8388.330000000009</v>
      </c>
    </row>
    <row r="7" spans="1:10" ht="14.25" customHeight="1" x14ac:dyDescent="0.3">
      <c r="A7" s="26" t="s">
        <v>649</v>
      </c>
      <c r="B7" s="87"/>
      <c r="C7" s="84">
        <f>C5+C6</f>
        <v>2236.7199999999939</v>
      </c>
      <c r="D7" s="84">
        <f>D5+D6</f>
        <v>622.10000000000582</v>
      </c>
      <c r="E7" s="84">
        <f>E5+E6</f>
        <v>6914.330000000009</v>
      </c>
      <c r="F7" s="84">
        <f>F5+F6</f>
        <v>-20987.660000000011</v>
      </c>
    </row>
    <row r="8" spans="1:10" ht="14.25" customHeight="1" x14ac:dyDescent="0.3">
      <c r="A8" s="86" t="s">
        <v>650</v>
      </c>
      <c r="B8" s="89"/>
      <c r="C8" s="84">
        <f>C4-C7</f>
        <v>10528.609890073309</v>
      </c>
      <c r="D8" s="84">
        <f>D4-D7</f>
        <v>14037.780329337253</v>
      </c>
      <c r="E8" s="84">
        <f>E4-E7</f>
        <v>9597.1452233312521</v>
      </c>
      <c r="F8" s="84">
        <f>F4-F7</f>
        <v>44505.34375147683</v>
      </c>
    </row>
    <row r="9" spans="1:10" ht="14.25" customHeight="1" x14ac:dyDescent="0.3">
      <c r="A9" s="86"/>
      <c r="B9" s="26"/>
      <c r="C9" s="87"/>
      <c r="D9" s="87"/>
      <c r="E9" s="87"/>
      <c r="F9" s="87"/>
      <c r="I9" s="15" t="s">
        <v>651</v>
      </c>
      <c r="J9" s="90">
        <f>Assumptions!B35</f>
        <v>0.3</v>
      </c>
    </row>
    <row r="10" spans="1:10" ht="14.25" customHeight="1" x14ac:dyDescent="0.3">
      <c r="A10" s="26" t="s">
        <v>652</v>
      </c>
      <c r="B10" s="81"/>
      <c r="C10" s="82">
        <f>C7/C4</f>
        <v>0.17521834682387122</v>
      </c>
      <c r="D10" s="82">
        <f>D7/D4</f>
        <v>4.2435544221671666E-2</v>
      </c>
      <c r="E10" s="82">
        <f>E7/E4</f>
        <v>0.41875906946399505</v>
      </c>
      <c r="F10" s="82">
        <f>F7/F4</f>
        <v>-0.89242036851023077</v>
      </c>
    </row>
    <row r="11" spans="1:10" ht="14.25" customHeight="1" x14ac:dyDescent="0.3">
      <c r="A11" s="19"/>
      <c r="B11" s="19"/>
      <c r="C11" s="19"/>
      <c r="D11" s="19"/>
      <c r="E11" s="19"/>
    </row>
    <row r="12" spans="1:10" ht="14.25" customHeight="1" x14ac:dyDescent="0.3">
      <c r="A12" s="26" t="s">
        <v>653</v>
      </c>
      <c r="B12" s="88">
        <f>MEDIAN(C10:F10)</f>
        <v>0.10882694552277145</v>
      </c>
      <c r="C12" s="91"/>
      <c r="D12" s="19"/>
      <c r="E12" s="19"/>
    </row>
    <row r="13" spans="1:10" ht="14.25" customHeight="1" x14ac:dyDescent="0.3">
      <c r="A13" s="26" t="s">
        <v>654</v>
      </c>
      <c r="B13" s="88">
        <f>AVERAGE(C10:F10)</f>
        <v>-6.4001852000173221E-2</v>
      </c>
      <c r="C13" s="91"/>
      <c r="D13" s="19"/>
      <c r="E13" s="1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"/>
  <sheetViews>
    <sheetView zoomScaleNormal="100" workbookViewId="0">
      <selection sqref="A1:F1"/>
    </sheetView>
  </sheetViews>
  <sheetFormatPr defaultColWidth="8.6640625" defaultRowHeight="14.4" x14ac:dyDescent="0.3"/>
  <cols>
    <col min="1" max="1" width="46" customWidth="1"/>
    <col min="2" max="6" width="8.88671875" customWidth="1"/>
  </cols>
  <sheetData>
    <row r="1" spans="1:6" ht="14.25" customHeight="1" x14ac:dyDescent="0.3">
      <c r="A1" s="299" t="s">
        <v>642</v>
      </c>
      <c r="B1" s="296">
        <v>44621</v>
      </c>
      <c r="C1" s="296">
        <v>44986</v>
      </c>
      <c r="D1" s="296">
        <v>45352</v>
      </c>
      <c r="E1" s="296">
        <v>45717</v>
      </c>
      <c r="F1" s="296">
        <v>46082</v>
      </c>
    </row>
    <row r="2" spans="1:6" ht="14.25" customHeight="1" x14ac:dyDescent="0.3">
      <c r="A2" s="26" t="s">
        <v>655</v>
      </c>
      <c r="B2" s="84">
        <f>'Consolidated Balance sheet'!B41</f>
        <v>5943.32</v>
      </c>
      <c r="C2" s="84">
        <f>'Consolidated Balance sheet'!C41</f>
        <v>6828.78</v>
      </c>
      <c r="D2" s="84">
        <f>'Consolidated Balance sheet'!D41</f>
        <v>6620.19</v>
      </c>
      <c r="E2" s="84">
        <f>'Consolidated Balance sheet'!E41</f>
        <v>7670.55</v>
      </c>
      <c r="F2" s="84">
        <f>'Consolidated Balance sheet'!F41</f>
        <v>9530.93</v>
      </c>
    </row>
    <row r="3" spans="1:6" ht="14.25" customHeight="1" x14ac:dyDescent="0.3">
      <c r="A3" s="26" t="s">
        <v>656</v>
      </c>
      <c r="B3" s="84">
        <f>'Consolidated Balance sheet'!B42</f>
        <v>46138.92</v>
      </c>
      <c r="C3" s="84">
        <f>'Consolidated Balance sheet'!C42</f>
        <v>44731.53</v>
      </c>
      <c r="D3" s="84">
        <f>'Consolidated Balance sheet'!D42</f>
        <v>48770.95</v>
      </c>
      <c r="E3" s="84">
        <f>'Consolidated Balance sheet'!E42</f>
        <v>53713.68</v>
      </c>
      <c r="F3" s="84">
        <f>'Consolidated Balance sheet'!F42</f>
        <v>60461.26</v>
      </c>
    </row>
    <row r="4" spans="1:6" ht="14.25" customHeight="1" x14ac:dyDescent="0.3">
      <c r="A4" s="26" t="s">
        <v>657</v>
      </c>
      <c r="B4" s="84">
        <f>'Consolidated Balance sheet'!B22</f>
        <v>51144.24</v>
      </c>
      <c r="C4" s="84">
        <f>'Consolidated Balance sheet'!C22</f>
        <v>49784.12</v>
      </c>
      <c r="D4" s="84">
        <f>'Consolidated Balance sheet'!D22</f>
        <v>53292.88</v>
      </c>
      <c r="E4" s="84">
        <f>'Consolidated Balance sheet'!E22</f>
        <v>52459.34</v>
      </c>
      <c r="F4" s="84">
        <f>'Consolidated Balance sheet'!F22</f>
        <v>69455.63</v>
      </c>
    </row>
    <row r="5" spans="1:6" ht="14.25" customHeight="1" x14ac:dyDescent="0.3">
      <c r="A5" s="26" t="s">
        <v>658</v>
      </c>
      <c r="B5" s="84">
        <f>B2+B3-B4</f>
        <v>938</v>
      </c>
      <c r="C5" s="84">
        <f>C2+C3-C4</f>
        <v>1776.1899999999951</v>
      </c>
      <c r="D5" s="84">
        <f>D2+D3-D4</f>
        <v>2098.260000000002</v>
      </c>
      <c r="E5" s="84">
        <f>E2+E3-E4</f>
        <v>8924.8900000000067</v>
      </c>
      <c r="F5" s="84">
        <f>F2+F3-F4</f>
        <v>536.55999999999767</v>
      </c>
    </row>
    <row r="6" spans="1:6" ht="14.25" customHeight="1" x14ac:dyDescent="0.3">
      <c r="A6" s="86" t="s">
        <v>659</v>
      </c>
      <c r="B6" s="87"/>
      <c r="C6" s="84">
        <f>C5-B5</f>
        <v>838.18999999999505</v>
      </c>
      <c r="D6" s="84">
        <f>D5-C5</f>
        <v>322.07000000000698</v>
      </c>
      <c r="E6" s="84">
        <f>E5-D5</f>
        <v>6826.6300000000047</v>
      </c>
      <c r="F6" s="84">
        <f>F5-E5</f>
        <v>-8388.330000000009</v>
      </c>
    </row>
    <row r="7" spans="1:6" ht="14.25" customHeight="1" x14ac:dyDescent="0.3">
      <c r="A7" s="26" t="s">
        <v>660</v>
      </c>
      <c r="B7" s="81"/>
      <c r="C7" s="82">
        <f>C6/'Consolidated P&amp;L'!B8</f>
        <v>5.355120196793719E-3</v>
      </c>
      <c r="D7" s="82">
        <f>D6/'Consolidated P&amp;L'!C8</f>
        <v>1.7566748681553358E-3</v>
      </c>
      <c r="E7" s="82">
        <f>E6/'Consolidated P&amp;L'!D8</f>
        <v>3.087395484958343E-2</v>
      </c>
      <c r="F7" s="82">
        <f>F6/'Consolidated P&amp;L'!E8</f>
        <v>-3.2800938629895221E-2</v>
      </c>
    </row>
    <row r="8" spans="1:6" ht="14.25" customHeight="1" x14ac:dyDescent="0.3">
      <c r="A8" s="19"/>
      <c r="B8" s="19"/>
      <c r="C8" s="19"/>
      <c r="D8" s="19"/>
      <c r="E8" s="19"/>
    </row>
    <row r="9" spans="1:6" ht="14.25" customHeight="1" x14ac:dyDescent="0.3">
      <c r="A9" s="26" t="s">
        <v>661</v>
      </c>
      <c r="B9" s="19"/>
      <c r="C9" s="92">
        <f>MEDIAN(C7:F7)</f>
        <v>3.5558975324745277E-3</v>
      </c>
      <c r="D9" s="19"/>
      <c r="E9" s="19"/>
    </row>
    <row r="10" spans="1:6" ht="14.25" customHeight="1" x14ac:dyDescent="0.3">
      <c r="A10" s="26" t="s">
        <v>662</v>
      </c>
      <c r="B10" s="19"/>
      <c r="C10" s="92">
        <f>AVERAGE(C7:F7)</f>
        <v>1.2962028211593157E-3</v>
      </c>
      <c r="D10" s="19"/>
      <c r="E10" s="1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2"/>
  <sheetViews>
    <sheetView zoomScaleNormal="100" workbookViewId="0">
      <selection sqref="A1:F1"/>
    </sheetView>
  </sheetViews>
  <sheetFormatPr defaultColWidth="8.6640625" defaultRowHeight="14.4" x14ac:dyDescent="0.3"/>
  <cols>
    <col min="1" max="1" width="40.33203125" customWidth="1"/>
    <col min="2" max="5" width="8.88671875" customWidth="1"/>
    <col min="6" max="6" width="9.44140625" customWidth="1"/>
  </cols>
  <sheetData>
    <row r="1" spans="1:6" ht="14.25" customHeight="1" x14ac:dyDescent="0.3">
      <c r="A1" s="299" t="s">
        <v>642</v>
      </c>
      <c r="B1" s="296">
        <v>44621</v>
      </c>
      <c r="C1" s="296">
        <v>44986</v>
      </c>
      <c r="D1" s="296">
        <v>45352</v>
      </c>
      <c r="E1" s="296">
        <v>45717</v>
      </c>
      <c r="F1" s="296">
        <v>46082</v>
      </c>
    </row>
    <row r="2" spans="1:6" ht="14.25" customHeight="1" x14ac:dyDescent="0.3">
      <c r="A2" s="26" t="s">
        <v>663</v>
      </c>
      <c r="B2" s="87"/>
      <c r="C2" s="84">
        <f>B6</f>
        <v>36509.39</v>
      </c>
      <c r="D2" s="84">
        <f>C6</f>
        <v>37907.919999999998</v>
      </c>
      <c r="E2" s="93">
        <f>D6</f>
        <v>38207.949999999997</v>
      </c>
      <c r="F2" s="84">
        <f>E6</f>
        <v>38295.65</v>
      </c>
    </row>
    <row r="3" spans="1:6" ht="14.25" customHeight="1" x14ac:dyDescent="0.3">
      <c r="A3" s="86" t="s">
        <v>664</v>
      </c>
      <c r="B3" s="89"/>
      <c r="C3" s="84">
        <f>C6-C2+C5</f>
        <v>4900.7799999999988</v>
      </c>
      <c r="D3" s="84">
        <f>D6-D2+D5</f>
        <v>3982.3599999999988</v>
      </c>
      <c r="E3" s="84">
        <f>E6-E2+E5</f>
        <v>4208.8800000000047</v>
      </c>
      <c r="F3" s="84">
        <f>F6-F2+F5</f>
        <v>-8234.5800000000017</v>
      </c>
    </row>
    <row r="4" spans="1:6" ht="14.25" customHeight="1" x14ac:dyDescent="0.3">
      <c r="A4" s="86" t="s">
        <v>665</v>
      </c>
      <c r="B4" s="84">
        <f>B5+B6</f>
        <v>39457.339999999997</v>
      </c>
      <c r="C4" s="84">
        <f>C5+C6</f>
        <v>41410.17</v>
      </c>
      <c r="D4" s="84">
        <f>D5+D6</f>
        <v>41890.28</v>
      </c>
      <c r="E4" s="84">
        <f>E5+E6</f>
        <v>42416.83</v>
      </c>
      <c r="F4" s="84">
        <f>F5+F6</f>
        <v>30061.07</v>
      </c>
    </row>
    <row r="5" spans="1:6" ht="14.25" customHeight="1" x14ac:dyDescent="0.3">
      <c r="A5" s="86" t="s">
        <v>666</v>
      </c>
      <c r="B5" s="84">
        <f>'Consolidated P&amp;L'!B18</f>
        <v>2947.95</v>
      </c>
      <c r="C5" s="84">
        <f>'Consolidated P&amp;L'!C18</f>
        <v>3502.25</v>
      </c>
      <c r="D5" s="84">
        <f>'Consolidated P&amp;L'!D18</f>
        <v>3682.33</v>
      </c>
      <c r="E5" s="84">
        <f>'Consolidated P&amp;L'!E18</f>
        <v>4121.18</v>
      </c>
      <c r="F5" s="84">
        <f>'Consolidated P&amp;L'!F18</f>
        <v>4364.75</v>
      </c>
    </row>
    <row r="6" spans="1:6" ht="14.25" customHeight="1" x14ac:dyDescent="0.3">
      <c r="A6" s="26" t="s">
        <v>667</v>
      </c>
      <c r="B6" s="84">
        <f>'Consolidated Balance sheet'!B33</f>
        <v>36509.39</v>
      </c>
      <c r="C6" s="84">
        <f>'Consolidated Balance sheet'!C33</f>
        <v>37907.919999999998</v>
      </c>
      <c r="D6" s="84">
        <f>'Consolidated Balance sheet'!D33</f>
        <v>38207.949999999997</v>
      </c>
      <c r="E6" s="84">
        <f>'Consolidated Balance sheet'!E33</f>
        <v>38295.65</v>
      </c>
      <c r="F6" s="84">
        <f>'Consolidated Balance sheet'!F33</f>
        <v>25696.32</v>
      </c>
    </row>
    <row r="7" spans="1:6" ht="14.25" customHeight="1" x14ac:dyDescent="0.3">
      <c r="A7" s="19"/>
      <c r="B7" s="19"/>
      <c r="C7" s="19"/>
      <c r="D7" s="19"/>
      <c r="E7" s="19"/>
    </row>
    <row r="8" spans="1:6" ht="14.25" customHeight="1" x14ac:dyDescent="0.3">
      <c r="A8" s="86" t="s">
        <v>668</v>
      </c>
      <c r="B8" s="89"/>
      <c r="C8" s="94">
        <f>C3-C5</f>
        <v>1398.5299999999988</v>
      </c>
      <c r="D8" s="94">
        <f>D3-D5</f>
        <v>300.02999999999884</v>
      </c>
      <c r="E8" s="94">
        <f>E3-E5</f>
        <v>87.700000000004366</v>
      </c>
      <c r="F8" s="94">
        <f>F3-F5</f>
        <v>-12599.330000000002</v>
      </c>
    </row>
    <row r="9" spans="1:6" ht="14.25" customHeight="1" x14ac:dyDescent="0.3">
      <c r="A9" s="26" t="s">
        <v>669</v>
      </c>
      <c r="B9" s="81"/>
      <c r="C9" s="92">
        <f>C8/'Consolidated P&amp;L'!B8</f>
        <v>8.9350818416134275E-3</v>
      </c>
      <c r="D9" s="92">
        <f>D8/'Consolidated P&amp;L'!C8</f>
        <v>1.6364615167281395E-3</v>
      </c>
      <c r="E9" s="92">
        <f>E8/'Consolidated P&amp;L'!D8</f>
        <v>3.9662993897554132E-4</v>
      </c>
      <c r="F9" s="92">
        <f>F8/'Consolidated P&amp;L'!E8</f>
        <v>-4.9267237949365057E-2</v>
      </c>
    </row>
    <row r="10" spans="1:6" ht="14.25" customHeight="1" x14ac:dyDescent="0.3">
      <c r="A10" s="19"/>
      <c r="B10" s="19"/>
      <c r="C10" s="19"/>
      <c r="D10" s="19"/>
      <c r="E10" s="19"/>
    </row>
    <row r="11" spans="1:6" ht="14.25" customHeight="1" x14ac:dyDescent="0.3">
      <c r="A11" s="26" t="s">
        <v>670</v>
      </c>
      <c r="B11" s="19"/>
      <c r="C11" s="92">
        <f>MEDIAN(C9:F9)</f>
        <v>1.0165457278518404E-3</v>
      </c>
      <c r="D11" s="19"/>
      <c r="E11" s="19"/>
    </row>
    <row r="12" spans="1:6" ht="14.25" customHeight="1" x14ac:dyDescent="0.3">
      <c r="A12" s="26" t="s">
        <v>671</v>
      </c>
      <c r="B12" s="19"/>
      <c r="C12" s="92">
        <f>AVERAGE(C9:F9)</f>
        <v>-9.5747661630119878E-3</v>
      </c>
      <c r="D12" s="19"/>
      <c r="E12" s="1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7"/>
  <sheetViews>
    <sheetView zoomScaleNormal="100" workbookViewId="0">
      <selection sqref="A1:F2"/>
    </sheetView>
  </sheetViews>
  <sheetFormatPr defaultColWidth="8.6640625" defaultRowHeight="14.4" x14ac:dyDescent="0.3"/>
  <cols>
    <col min="1" max="1" width="39.77734375" customWidth="1"/>
    <col min="2" max="6" width="10.33203125" customWidth="1"/>
    <col min="7" max="7" width="6.77734375" customWidth="1"/>
    <col min="8" max="8" width="15.109375" customWidth="1"/>
  </cols>
  <sheetData>
    <row r="1" spans="1:6" ht="25.5" customHeight="1" x14ac:dyDescent="0.5">
      <c r="A1" s="300" t="s">
        <v>672</v>
      </c>
      <c r="B1" s="300"/>
      <c r="C1" s="300"/>
      <c r="D1" s="300"/>
      <c r="E1" s="300"/>
      <c r="F1" s="300"/>
    </row>
    <row r="2" spans="1:6" ht="14.25" customHeight="1" x14ac:dyDescent="0.3">
      <c r="A2" s="301" t="s">
        <v>673</v>
      </c>
      <c r="B2" s="302" t="s">
        <v>674</v>
      </c>
      <c r="C2" s="302" t="s">
        <v>675</v>
      </c>
      <c r="D2" s="302" t="s">
        <v>676</v>
      </c>
      <c r="E2" s="303">
        <v>45717</v>
      </c>
      <c r="F2" s="303">
        <v>46082</v>
      </c>
    </row>
    <row r="3" spans="1:6" ht="14.25" customHeight="1" x14ac:dyDescent="0.3">
      <c r="A3" s="95" t="s">
        <v>677</v>
      </c>
      <c r="B3" s="84">
        <f>'Consolidated P&amp;L'!B8</f>
        <v>156521.23000000001</v>
      </c>
      <c r="C3" s="84">
        <f>'Consolidated P&amp;L'!C8</f>
        <v>183340.7</v>
      </c>
      <c r="D3" s="84">
        <f>'Consolidated P&amp;L'!D8</f>
        <v>221112.91</v>
      </c>
      <c r="E3" s="84">
        <f>'Consolidated P&amp;L'!E8</f>
        <v>255734.45</v>
      </c>
      <c r="F3" s="84">
        <f>'Consolidated P&amp;L'!F8</f>
        <v>285874.36</v>
      </c>
    </row>
    <row r="4" spans="1:6" ht="14.25" customHeight="1" x14ac:dyDescent="0.3">
      <c r="A4" s="14" t="s">
        <v>678</v>
      </c>
      <c r="B4" s="26"/>
      <c r="C4" s="82">
        <f>(C3-B3)/B3</f>
        <v>0.17134717124315979</v>
      </c>
      <c r="D4" s="82">
        <f>(D3-C3)/C3</f>
        <v>0.20602195802677742</v>
      </c>
      <c r="E4" s="82">
        <f>(E3-D3)/D3</f>
        <v>0.15657855527295991</v>
      </c>
      <c r="F4" s="82">
        <f>(F3-E3)/E3</f>
        <v>0.11785627630536274</v>
      </c>
    </row>
    <row r="5" spans="1:6" ht="14.25" customHeight="1" x14ac:dyDescent="0.3">
      <c r="A5" s="14" t="s">
        <v>679</v>
      </c>
      <c r="B5" s="84">
        <f>'Consolidated P&amp;L'!B12+'Consolidated P&amp;L'!B13+'Consolidated P&amp;L'!B14+'Consolidated P&amp;L'!B15</f>
        <v>99738.51</v>
      </c>
      <c r="C5" s="84">
        <f>'Consolidated P&amp;L'!C12+'Consolidated P&amp;L'!C13+'Consolidated P&amp;L'!C14+'Consolidated P&amp;L'!C15</f>
        <v>116615.27</v>
      </c>
      <c r="D5" s="84">
        <f>'Consolidated P&amp;L'!D12+'Consolidated P&amp;L'!D13+'Consolidated P&amp;L'!D14+'Consolidated P&amp;L'!D15</f>
        <v>146028.82</v>
      </c>
      <c r="E5" s="84">
        <f>'Consolidated P&amp;L'!E12+'Consolidated P&amp;L'!E13+'Consolidated P&amp;L'!E14+'Consolidated P&amp;L'!E15</f>
        <v>170972.9</v>
      </c>
      <c r="F5" s="84">
        <f>'Consolidated P&amp;L'!F12+'Consolidated P&amp;L'!F13+'Consolidated P&amp;L'!F14+'Consolidated P&amp;L'!F15</f>
        <v>185841.21</v>
      </c>
    </row>
    <row r="6" spans="1:6" ht="14.25" customHeight="1" x14ac:dyDescent="0.3">
      <c r="A6" s="14" t="s">
        <v>680</v>
      </c>
      <c r="B6" s="84">
        <f>'Consolidated P&amp;L'!B16</f>
        <v>29733.53</v>
      </c>
      <c r="C6" s="84">
        <f>'Consolidated P&amp;L'!C16</f>
        <v>37214.11</v>
      </c>
      <c r="D6" s="84">
        <f>'Consolidated P&amp;L'!D16</f>
        <v>41171.019999999997</v>
      </c>
      <c r="E6" s="84">
        <f>'Consolidated P&amp;L'!E16</f>
        <v>46768.68</v>
      </c>
      <c r="F6" s="84">
        <f>'Consolidated P&amp;L'!F16</f>
        <v>52187.22</v>
      </c>
    </row>
    <row r="7" spans="1:6" ht="14.25" customHeight="1" x14ac:dyDescent="0.3">
      <c r="A7" s="14" t="s">
        <v>681</v>
      </c>
      <c r="B7" s="84">
        <f>'Consolidated P&amp;L'!B19</f>
        <v>8831.89</v>
      </c>
      <c r="C7" s="84">
        <f>'Consolidated P&amp;L'!C19</f>
        <v>8758.0400000000009</v>
      </c>
      <c r="D7" s="84">
        <f>'Consolidated P&amp;L'!D19</f>
        <v>10419.42</v>
      </c>
      <c r="E7" s="84">
        <f>'Consolidated P&amp;L'!E19</f>
        <v>11558.13</v>
      </c>
      <c r="F7" s="84">
        <f>'Consolidated P&amp;L'!F19</f>
        <v>11699.45</v>
      </c>
    </row>
    <row r="8" spans="1:6" ht="14.25" customHeight="1" x14ac:dyDescent="0.3">
      <c r="A8" s="95" t="s">
        <v>413</v>
      </c>
      <c r="B8" s="84">
        <f>B5+B6+B7</f>
        <v>138303.93</v>
      </c>
      <c r="C8" s="84">
        <f>C5+C6+C7</f>
        <v>162587.42000000001</v>
      </c>
      <c r="D8" s="84">
        <f>D5+D6+D7</f>
        <v>197619.26</v>
      </c>
      <c r="E8" s="84">
        <f>E5+E6+E7</f>
        <v>229299.71</v>
      </c>
      <c r="F8" s="84">
        <f>F5+F6+F7</f>
        <v>249727.88</v>
      </c>
    </row>
    <row r="9" spans="1:6" ht="14.25" customHeight="1" x14ac:dyDescent="0.3">
      <c r="A9" s="95" t="s">
        <v>682</v>
      </c>
      <c r="B9" s="84">
        <f>B3-B8</f>
        <v>18217.300000000017</v>
      </c>
      <c r="C9" s="84">
        <f>C3-C8</f>
        <v>20753.28</v>
      </c>
      <c r="D9" s="84">
        <f>D3-D8</f>
        <v>23493.649999999994</v>
      </c>
      <c r="E9" s="84">
        <f>E3-E8</f>
        <v>26434.74000000002</v>
      </c>
      <c r="F9" s="84">
        <f>F3-F8</f>
        <v>36146.479999999981</v>
      </c>
    </row>
    <row r="10" spans="1:6" ht="14.25" customHeight="1" x14ac:dyDescent="0.3">
      <c r="A10" s="14" t="s">
        <v>683</v>
      </c>
      <c r="B10" s="84">
        <f>'Consolidated P&amp;L'!B18</f>
        <v>2947.95</v>
      </c>
      <c r="C10" s="84">
        <f>'Consolidated P&amp;L'!C18</f>
        <v>3502.25</v>
      </c>
      <c r="D10" s="84">
        <f>'Consolidated P&amp;L'!D18</f>
        <v>3682.33</v>
      </c>
      <c r="E10" s="84">
        <f>'Consolidated P&amp;L'!E18</f>
        <v>4121.18</v>
      </c>
      <c r="F10" s="84">
        <f>'Consolidated P&amp;L'!F18</f>
        <v>4364.75</v>
      </c>
    </row>
    <row r="11" spans="1:6" ht="14.25" customHeight="1" x14ac:dyDescent="0.3">
      <c r="A11" s="14" t="s">
        <v>684</v>
      </c>
      <c r="B11" s="84">
        <f>B9-B10</f>
        <v>15269.350000000017</v>
      </c>
      <c r="C11" s="84">
        <f>C9-C10</f>
        <v>17251.03</v>
      </c>
      <c r="D11" s="84">
        <f>D9-D10</f>
        <v>19811.319999999992</v>
      </c>
      <c r="E11" s="84">
        <f>E9-E10</f>
        <v>22313.560000000019</v>
      </c>
      <c r="F11" s="84">
        <f>F9-F10</f>
        <v>31781.729999999981</v>
      </c>
    </row>
    <row r="12" spans="1:6" ht="14.25" customHeight="1" x14ac:dyDescent="0.3">
      <c r="A12" s="14" t="s">
        <v>685</v>
      </c>
      <c r="B12" s="84">
        <f>'Consolidated P&amp;L'!B9</f>
        <v>2267.08</v>
      </c>
      <c r="C12" s="84">
        <f>'Consolidated P&amp;L'!C9</f>
        <v>2929.17</v>
      </c>
      <c r="D12" s="84">
        <f>'Consolidated P&amp;L'!D9</f>
        <v>4158.03</v>
      </c>
      <c r="E12" s="84">
        <f>'Consolidated P&amp;L'!E9</f>
        <v>4124.82</v>
      </c>
      <c r="F12" s="84">
        <f>'Consolidated P&amp;L'!F9</f>
        <v>5760.68</v>
      </c>
    </row>
    <row r="13" spans="1:6" ht="14.25" customHeight="1" x14ac:dyDescent="0.3">
      <c r="A13" s="14" t="s">
        <v>686</v>
      </c>
      <c r="B13" s="84">
        <f>'Consolidated P&amp;L'!B17</f>
        <v>3125.7</v>
      </c>
      <c r="C13" s="84">
        <f>'Consolidated P&amp;L'!C17</f>
        <v>3207.16</v>
      </c>
      <c r="D13" s="84">
        <f>'Consolidated P&amp;L'!D17</f>
        <v>3545.85</v>
      </c>
      <c r="E13" s="84">
        <f>'Consolidated P&amp;L'!E17</f>
        <v>3334.37</v>
      </c>
      <c r="F13" s="84">
        <f>'Consolidated P&amp;L'!F17</f>
        <v>9844.16</v>
      </c>
    </row>
    <row r="14" spans="1:6" ht="14.25" customHeight="1" x14ac:dyDescent="0.3">
      <c r="A14" s="14" t="s">
        <v>687</v>
      </c>
      <c r="B14" s="84">
        <f>B11+B12-B13</f>
        <v>14410.730000000014</v>
      </c>
      <c r="C14" s="84">
        <f>C11+C12-C13</f>
        <v>16973.039999999997</v>
      </c>
      <c r="D14" s="84">
        <f>D11+D12-D13</f>
        <v>20423.499999999993</v>
      </c>
      <c r="E14" s="84">
        <f>E11+E12-E13</f>
        <v>23104.01000000002</v>
      </c>
      <c r="F14" s="84">
        <f>F11+F12-F13</f>
        <v>27698.249999999982</v>
      </c>
    </row>
    <row r="15" spans="1:6" ht="14.25" customHeight="1" x14ac:dyDescent="0.3">
      <c r="A15" s="95" t="s">
        <v>688</v>
      </c>
      <c r="B15" s="84">
        <f>'Consolidated P&amp;L'!B28</f>
        <v>4216.6099999999997</v>
      </c>
      <c r="C15" s="84">
        <f>'Consolidated P&amp;L'!C28</f>
        <v>4484.16</v>
      </c>
      <c r="D15" s="84">
        <f>'Consolidated P&amp;L'!D28</f>
        <v>4947.3900000000003</v>
      </c>
      <c r="E15" s="84">
        <f>'Consolidated P&amp;L'!E28</f>
        <v>5891.4</v>
      </c>
      <c r="F15" s="84">
        <f>'Consolidated P&amp;L'!F28</f>
        <v>6816.41</v>
      </c>
    </row>
    <row r="16" spans="1:6" ht="14.25" customHeight="1" x14ac:dyDescent="0.3">
      <c r="A16" s="14" t="s">
        <v>689</v>
      </c>
      <c r="B16" s="84">
        <f>ABS('Consolidated P&amp;L'!B32)</f>
        <v>1749.91</v>
      </c>
      <c r="C16" s="84">
        <f>ABS('Consolidated P&amp;L'!C32)</f>
        <v>2059.9</v>
      </c>
      <c r="D16" s="84">
        <f>ABS('Consolidated P&amp;L'!D32)</f>
        <v>2487.9899999999998</v>
      </c>
      <c r="E16" s="84">
        <f>ABS('Consolidated P&amp;L'!E32)</f>
        <v>2636.22</v>
      </c>
      <c r="F16" s="84">
        <f>ABS('Consolidated P&amp;L'!F32)</f>
        <v>2869.89</v>
      </c>
    </row>
    <row r="17" spans="1:6" ht="14.25" customHeight="1" x14ac:dyDescent="0.3">
      <c r="A17" s="95" t="s">
        <v>690</v>
      </c>
      <c r="B17" s="84">
        <f>B14-B15-B16</f>
        <v>8444.2100000000137</v>
      </c>
      <c r="C17" s="84">
        <f>C14-C15-C16</f>
        <v>10428.979999999998</v>
      </c>
      <c r="D17" s="84">
        <f>D14-D15-D16</f>
        <v>12988.119999999994</v>
      </c>
      <c r="E17" s="84">
        <f>E14-E15-E16</f>
        <v>14576.390000000023</v>
      </c>
      <c r="F17" s="84">
        <f>F14-F15-F16</f>
        <v>18011.949999999983</v>
      </c>
    </row>
    <row r="18" spans="1:6" ht="14.25" customHeight="1" x14ac:dyDescent="0.3">
      <c r="A18" s="14"/>
      <c r="B18" s="14"/>
      <c r="C18" s="14"/>
      <c r="D18" s="14"/>
      <c r="E18" s="14"/>
      <c r="F18" s="14"/>
    </row>
    <row r="23" spans="1:6" ht="14.25" customHeight="1" x14ac:dyDescent="0.3">
      <c r="A23" s="197" t="s">
        <v>691</v>
      </c>
      <c r="B23" s="197"/>
      <c r="C23" s="197"/>
    </row>
    <row r="24" spans="1:6" ht="14.25" customHeight="1" x14ac:dyDescent="0.3">
      <c r="A24" s="26" t="s">
        <v>692</v>
      </c>
      <c r="B24" s="92">
        <f>AVERAGE(C4:F4)</f>
        <v>0.16295099021206497</v>
      </c>
      <c r="C24" s="14"/>
    </row>
    <row r="25" spans="1:6" ht="14.25" customHeight="1" x14ac:dyDescent="0.3">
      <c r="A25" s="26" t="s">
        <v>693</v>
      </c>
      <c r="B25" s="92">
        <f>(F3/B3)^(1/5)-1</f>
        <v>0.12802932668660882</v>
      </c>
      <c r="C25" s="92">
        <f>(F3/B3)^(1/5)-1</f>
        <v>0.12802932668660882</v>
      </c>
      <c r="D25" s="15" t="s">
        <v>694</v>
      </c>
    </row>
    <row r="27" spans="1:6" ht="14.25" customHeight="1" x14ac:dyDescent="0.3">
      <c r="A27" s="97" t="s">
        <v>695</v>
      </c>
    </row>
    <row r="28" spans="1:6" ht="14.25" customHeight="1" x14ac:dyDescent="0.3">
      <c r="A28" s="98" t="s">
        <v>682</v>
      </c>
      <c r="B28" s="92">
        <f>B9/B3</f>
        <v>0.11638868414208102</v>
      </c>
      <c r="C28" s="92">
        <f>C9/C3</f>
        <v>0.11319516070354263</v>
      </c>
      <c r="D28" s="92">
        <f>D9/D3</f>
        <v>0.1062518240115423</v>
      </c>
      <c r="E28" s="92">
        <f>E9/E3</f>
        <v>0.10336792716038069</v>
      </c>
      <c r="F28" s="92">
        <f>F9/F3</f>
        <v>0.12644183969489248</v>
      </c>
    </row>
    <row r="29" spans="1:6" ht="14.25" customHeight="1" x14ac:dyDescent="0.3">
      <c r="A29" s="98" t="s">
        <v>643</v>
      </c>
      <c r="B29" s="92">
        <f>B11/B3</f>
        <v>9.7554497878658483E-2</v>
      </c>
      <c r="C29" s="92">
        <f>C11/C3</f>
        <v>9.4092746455096979E-2</v>
      </c>
      <c r="D29" s="92">
        <f>D11/D3</f>
        <v>8.9598205731180477E-2</v>
      </c>
      <c r="E29" s="92">
        <f>E11/E3</f>
        <v>8.7252851541902224E-2</v>
      </c>
      <c r="F29" s="92">
        <f>F11/F3</f>
        <v>0.11117376878430085</v>
      </c>
    </row>
    <row r="30" spans="1:6" ht="14.25" customHeight="1" x14ac:dyDescent="0.3">
      <c r="A30" s="98" t="s">
        <v>687</v>
      </c>
      <c r="B30" s="92">
        <f>B14/B3</f>
        <v>9.2068852257294512E-2</v>
      </c>
      <c r="C30" s="92">
        <f>C14/C3</f>
        <v>9.2576498289795972E-2</v>
      </c>
      <c r="D30" s="92">
        <f>D14/D3</f>
        <v>9.236683647282283E-2</v>
      </c>
      <c r="E30" s="92">
        <f>E14/E3</f>
        <v>9.0343753061036633E-2</v>
      </c>
      <c r="F30" s="92">
        <f>F14/F3</f>
        <v>9.688959163738918E-2</v>
      </c>
    </row>
    <row r="31" spans="1:6" ht="14.25" customHeight="1" x14ac:dyDescent="0.3">
      <c r="A31" s="98" t="s">
        <v>696</v>
      </c>
      <c r="B31" s="92">
        <f>B17/B3</f>
        <v>5.3949294929512205E-2</v>
      </c>
      <c r="C31" s="92">
        <f>C17/C3</f>
        <v>5.6883059789779339E-2</v>
      </c>
      <c r="D31" s="92">
        <f>D17/D3</f>
        <v>5.873976331820694E-2</v>
      </c>
      <c r="E31" s="92">
        <f>E17/E3</f>
        <v>5.6998147883478435E-2</v>
      </c>
      <c r="F31" s="92">
        <f>F17/F3</f>
        <v>6.3006524964323435E-2</v>
      </c>
    </row>
    <row r="33" spans="1:8" ht="14.25" customHeight="1" x14ac:dyDescent="0.3">
      <c r="A33" s="97" t="s">
        <v>598</v>
      </c>
    </row>
    <row r="34" spans="1:8" ht="14.25" customHeight="1" x14ac:dyDescent="0.3">
      <c r="A34" s="98" t="s">
        <v>697</v>
      </c>
      <c r="B34" s="92">
        <f>B15/B14</f>
        <v>0.29260210967799655</v>
      </c>
      <c r="C34" s="92">
        <f>C15/C14</f>
        <v>0.26419309681706993</v>
      </c>
      <c r="D34" s="92">
        <f>D15/D14</f>
        <v>0.24224006658995775</v>
      </c>
      <c r="E34" s="92">
        <f>E15/E14</f>
        <v>0.25499469572597977</v>
      </c>
      <c r="F34" s="92">
        <f>F15/F14</f>
        <v>0.24609533093245978</v>
      </c>
      <c r="G34" s="88">
        <f>AVERAGE(B34:F34)</f>
        <v>0.26002505994869279</v>
      </c>
      <c r="H34" s="15" t="s">
        <v>697</v>
      </c>
    </row>
    <row r="35" spans="1:8" ht="14.25" customHeight="1" x14ac:dyDescent="0.3">
      <c r="A35" s="98" t="s">
        <v>698</v>
      </c>
      <c r="B35" s="99">
        <v>0.3</v>
      </c>
      <c r="C35" s="92">
        <f>B35</f>
        <v>0.3</v>
      </c>
      <c r="D35" s="92">
        <f>C35</f>
        <v>0.3</v>
      </c>
      <c r="E35" s="92">
        <f>D35</f>
        <v>0.3</v>
      </c>
      <c r="F35" s="92">
        <f>E35</f>
        <v>0.3</v>
      </c>
    </row>
    <row r="37" spans="1:8" ht="14.25" customHeight="1" x14ac:dyDescent="0.3">
      <c r="A37" s="97" t="s">
        <v>699</v>
      </c>
    </row>
    <row r="38" spans="1:8" ht="14.25" customHeight="1" x14ac:dyDescent="0.3">
      <c r="A38" s="98" t="s">
        <v>700</v>
      </c>
      <c r="B38" s="84">
        <f>B11*(1-B35)</f>
        <v>10688.545000000011</v>
      </c>
      <c r="C38" s="84">
        <f>C11*(1-C35)</f>
        <v>12075.720999999998</v>
      </c>
      <c r="D38" s="84">
        <f>D11*(1-D35)</f>
        <v>13867.923999999994</v>
      </c>
      <c r="E38" s="84">
        <f>E11*(1-E35)</f>
        <v>15619.492000000013</v>
      </c>
      <c r="F38" s="84">
        <f>F11*(1-F35)</f>
        <v>22247.210999999985</v>
      </c>
    </row>
    <row r="39" spans="1:8" ht="14.25" customHeight="1" x14ac:dyDescent="0.3">
      <c r="A39" s="98" t="s">
        <v>701</v>
      </c>
      <c r="B39" s="84">
        <f>'Consolidated Balance sheet'!B12</f>
        <v>82623.31</v>
      </c>
      <c r="C39" s="84">
        <f>'Consolidated Balance sheet'!C12</f>
        <v>89325.95</v>
      </c>
      <c r="D39" s="84">
        <f>'Consolidated Balance sheet'!D12</f>
        <v>86359.24</v>
      </c>
      <c r="E39" s="84">
        <f>'Consolidated Balance sheet'!E12</f>
        <v>97655.6</v>
      </c>
      <c r="F39" s="84">
        <f>'Consolidated Balance sheet'!F12</f>
        <v>109289.8</v>
      </c>
    </row>
    <row r="40" spans="1:8" ht="14.25" customHeight="1" x14ac:dyDescent="0.3">
      <c r="A40" s="98" t="s">
        <v>702</v>
      </c>
      <c r="B40" s="84">
        <f>'Consolidated Balance sheet'!B15+'Consolidated Balance sheet'!B21</f>
        <v>123252.58</v>
      </c>
      <c r="C40" s="84">
        <f>'Consolidated Balance sheet'!C15+'Consolidated Balance sheet'!C21</f>
        <v>118513.38</v>
      </c>
      <c r="D40" s="84">
        <f>'Consolidated Balance sheet'!D15+'Consolidated Balance sheet'!D21</f>
        <v>114039.77</v>
      </c>
      <c r="E40" s="84">
        <f>'Consolidated Balance sheet'!E15+'Consolidated Balance sheet'!E21</f>
        <v>129559.34</v>
      </c>
      <c r="F40" s="84">
        <f>'Consolidated Balance sheet'!F15+'Consolidated Balance sheet'!F21</f>
        <v>121683.01999999999</v>
      </c>
    </row>
    <row r="41" spans="1:8" ht="14.25" customHeight="1" x14ac:dyDescent="0.3">
      <c r="A41" s="98" t="s">
        <v>703</v>
      </c>
      <c r="B41" s="84">
        <f>'Consolidated Balance sheet'!B43</f>
        <v>18953.169999999998</v>
      </c>
      <c r="C41" s="84">
        <f>'Consolidated Balance sheet'!C43</f>
        <v>22519.599999999999</v>
      </c>
      <c r="D41" s="84">
        <f>'Consolidated Balance sheet'!D43</f>
        <v>15358.39</v>
      </c>
      <c r="E41" s="84">
        <f>'Consolidated Balance sheet'!E43</f>
        <v>22965.34</v>
      </c>
      <c r="F41" s="84">
        <f>'Consolidated Balance sheet'!F43</f>
        <v>20847.669999999998</v>
      </c>
    </row>
    <row r="42" spans="1:8" ht="14.25" customHeight="1" x14ac:dyDescent="0.3">
      <c r="A42" s="98" t="s">
        <v>704</v>
      </c>
      <c r="B42" s="84">
        <f>B39+B40-B41</f>
        <v>186922.72000000003</v>
      </c>
      <c r="C42" s="84">
        <f>C39+C40-C41</f>
        <v>185319.73</v>
      </c>
      <c r="D42" s="84">
        <f>D39+D40-D41</f>
        <v>185040.62</v>
      </c>
      <c r="E42" s="84">
        <f>E39+E40-E41</f>
        <v>204249.60000000001</v>
      </c>
      <c r="F42" s="84">
        <f>F39+F40-F41</f>
        <v>210125.15000000002</v>
      </c>
    </row>
    <row r="44" spans="1:8" ht="14.25" customHeight="1" x14ac:dyDescent="0.3">
      <c r="A44" s="98" t="s">
        <v>705</v>
      </c>
      <c r="B44" s="92">
        <f>B11/B42</f>
        <v>8.1688036638884853E-2</v>
      </c>
      <c r="C44" s="92">
        <f>C11/C42</f>
        <v>9.3087929709373088E-2</v>
      </c>
      <c r="D44" s="92">
        <f>D11/D42</f>
        <v>0.1070647082786471</v>
      </c>
      <c r="E44" s="92">
        <f>E11/E42</f>
        <v>0.10924652973616604</v>
      </c>
      <c r="F44" s="92">
        <f>F11/F42</f>
        <v>0.15125143277708536</v>
      </c>
    </row>
    <row r="45" spans="1:8" ht="14.25" customHeight="1" x14ac:dyDescent="0.3">
      <c r="A45" s="98" t="s">
        <v>706</v>
      </c>
      <c r="B45" s="92">
        <f>B38/B42</f>
        <v>5.7181625647219389E-2</v>
      </c>
      <c r="C45" s="92">
        <f>C38/C42</f>
        <v>6.5161550796561149E-2</v>
      </c>
      <c r="D45" s="92">
        <f>D38/D42</f>
        <v>7.4945295795052963E-2</v>
      </c>
      <c r="E45" s="92">
        <f>E38/E42</f>
        <v>7.6472570815316221E-2</v>
      </c>
      <c r="F45" s="92">
        <f>F38/F42</f>
        <v>0.10587600294395974</v>
      </c>
    </row>
    <row r="46" spans="1:8" ht="14.25" customHeight="1" x14ac:dyDescent="0.3">
      <c r="A46" s="19"/>
    </row>
    <row r="47" spans="1:8" ht="14.25" customHeight="1" x14ac:dyDescent="0.3">
      <c r="A47" s="86" t="s">
        <v>707</v>
      </c>
      <c r="B47" s="92">
        <f>FCFF!B12*F45</f>
        <v>1.1522162004551096E-2</v>
      </c>
      <c r="C47" s="100"/>
      <c r="D47" s="100"/>
      <c r="E47" s="100"/>
      <c r="F47" s="100"/>
    </row>
  </sheetData>
  <mergeCells count="2">
    <mergeCell ref="A1:F1"/>
    <mergeCell ref="A23:C2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D2:R17"/>
  <sheetViews>
    <sheetView zoomScaleNormal="100" workbookViewId="0">
      <selection activeCell="O2" sqref="O2:R3"/>
    </sheetView>
  </sheetViews>
  <sheetFormatPr defaultColWidth="8.6640625" defaultRowHeight="14.4" x14ac:dyDescent="0.3"/>
  <cols>
    <col min="5" max="5" width="19.21875" customWidth="1"/>
    <col min="6" max="6" width="6.109375" customWidth="1"/>
    <col min="7" max="7" width="10.6640625" customWidth="1"/>
    <col min="8" max="8" width="11.88671875" customWidth="1"/>
    <col min="10" max="10" width="19.21875" customWidth="1"/>
    <col min="11" max="11" width="6.109375" customWidth="1"/>
    <col min="12" max="12" width="9.109375" customWidth="1"/>
    <col min="13" max="13" width="13.88671875" customWidth="1"/>
    <col min="15" max="15" width="19.21875" customWidth="1"/>
    <col min="16" max="16" width="6.109375" customWidth="1"/>
    <col min="17" max="17" width="6.5546875" customWidth="1"/>
    <col min="18" max="18" width="10.77734375" customWidth="1"/>
  </cols>
  <sheetData>
    <row r="2" spans="4:18" ht="14.25" customHeight="1" x14ac:dyDescent="0.3">
      <c r="E2" s="294" t="s">
        <v>708</v>
      </c>
      <c r="F2" s="294"/>
      <c r="G2" s="294"/>
      <c r="H2" s="294"/>
      <c r="J2" s="294" t="s">
        <v>709</v>
      </c>
      <c r="K2" s="294"/>
      <c r="L2" s="294"/>
      <c r="M2" s="294"/>
      <c r="O2" s="294" t="s">
        <v>710</v>
      </c>
      <c r="P2" s="294"/>
      <c r="Q2" s="294"/>
      <c r="R2" s="294"/>
    </row>
    <row r="3" spans="4:18" ht="14.25" customHeight="1" x14ac:dyDescent="0.3">
      <c r="E3" s="298" t="s">
        <v>711</v>
      </c>
      <c r="F3" s="298" t="s">
        <v>712</v>
      </c>
      <c r="G3" s="298" t="s">
        <v>713</v>
      </c>
      <c r="H3" s="298" t="s">
        <v>612</v>
      </c>
      <c r="J3" s="298" t="s">
        <v>711</v>
      </c>
      <c r="K3" s="298" t="s">
        <v>712</v>
      </c>
      <c r="L3" s="298" t="s">
        <v>682</v>
      </c>
      <c r="M3" s="298" t="s">
        <v>613</v>
      </c>
      <c r="O3" s="298" t="s">
        <v>711</v>
      </c>
      <c r="P3" s="298" t="s">
        <v>712</v>
      </c>
      <c r="Q3" s="298" t="s">
        <v>714</v>
      </c>
      <c r="R3" s="298" t="s">
        <v>715</v>
      </c>
    </row>
    <row r="4" spans="4:18" ht="14.25" customHeight="1" x14ac:dyDescent="0.3">
      <c r="D4" s="19"/>
      <c r="E4" s="101">
        <v>1</v>
      </c>
      <c r="F4" s="102">
        <v>44621</v>
      </c>
      <c r="G4" s="103">
        <f>'Consolidated P&amp;L'!B8</f>
        <v>156521.23000000001</v>
      </c>
      <c r="H4" s="26"/>
      <c r="I4" s="19"/>
      <c r="J4" s="101">
        <v>1</v>
      </c>
      <c r="K4" s="102">
        <v>44621</v>
      </c>
      <c r="L4" s="103">
        <f>'Consolidated P&amp;L'!B22+'Consolidated P&amp;L'!B17+'Consolidated P&amp;L'!B18</f>
        <v>20484.38</v>
      </c>
      <c r="M4" s="26"/>
      <c r="N4" s="19"/>
      <c r="O4" s="101">
        <v>1</v>
      </c>
      <c r="P4" s="102">
        <v>44621</v>
      </c>
      <c r="Q4" s="103">
        <f>'Consolidated P&amp;L'!B36</f>
        <v>62</v>
      </c>
      <c r="R4" s="26"/>
    </row>
    <row r="5" spans="4:18" ht="14.25" customHeight="1" x14ac:dyDescent="0.3">
      <c r="D5" s="19"/>
      <c r="E5" s="101">
        <v>2</v>
      </c>
      <c r="F5" s="102">
        <v>44986</v>
      </c>
      <c r="G5" s="103">
        <f>'Consolidated P&amp;L'!C8</f>
        <v>183340.7</v>
      </c>
      <c r="H5" s="104">
        <f t="shared" ref="H5:H13" si="0">(G5-G4)/G4</f>
        <v>0.17134717124315979</v>
      </c>
      <c r="I5" s="19"/>
      <c r="J5" s="101">
        <v>2</v>
      </c>
      <c r="K5" s="102">
        <v>44986</v>
      </c>
      <c r="L5" s="103">
        <f>'Consolidated P&amp;L'!C22+'Consolidated P&amp;L'!C17+'Consolidated P&amp;L'!C18</f>
        <v>23682.45</v>
      </c>
      <c r="M5" s="104">
        <f t="shared" ref="M5:M13" si="1">(L5-L4)/L4</f>
        <v>0.15612237226608761</v>
      </c>
      <c r="N5" s="19"/>
      <c r="O5" s="101">
        <v>2</v>
      </c>
      <c r="P5" s="102">
        <v>44986</v>
      </c>
      <c r="Q5" s="103">
        <f>'Consolidated P&amp;L'!C36</f>
        <v>75</v>
      </c>
      <c r="R5" s="104">
        <f t="shared" ref="R5:R13" si="2">(Q5-Q4)/Q4</f>
        <v>0.20967741935483872</v>
      </c>
    </row>
    <row r="6" spans="4:18" ht="14.25" customHeight="1" x14ac:dyDescent="0.3">
      <c r="D6" s="19"/>
      <c r="E6" s="101">
        <v>3</v>
      </c>
      <c r="F6" s="102">
        <v>45352</v>
      </c>
      <c r="G6" s="103">
        <f>'Consolidated P&amp;L'!D8</f>
        <v>221112.91</v>
      </c>
      <c r="H6" s="104">
        <f t="shared" si="0"/>
        <v>0.20602195802677742</v>
      </c>
      <c r="I6" s="19"/>
      <c r="J6" s="101">
        <v>3</v>
      </c>
      <c r="K6" s="102">
        <v>45352</v>
      </c>
      <c r="L6" s="103">
        <f>'Consolidated P&amp;L'!D22+'Consolidated P&amp;L'!D17+'Consolidated P&amp;L'!D18</f>
        <v>27651.68</v>
      </c>
      <c r="M6" s="104">
        <f t="shared" si="1"/>
        <v>0.16760216953904683</v>
      </c>
      <c r="N6" s="19"/>
      <c r="O6" s="101">
        <v>3</v>
      </c>
      <c r="P6" s="102">
        <v>45352</v>
      </c>
      <c r="Q6" s="103">
        <f>'Consolidated P&amp;L'!D36</f>
        <v>94</v>
      </c>
      <c r="R6" s="104">
        <f t="shared" si="2"/>
        <v>0.25333333333333335</v>
      </c>
    </row>
    <row r="7" spans="4:18" ht="14.25" customHeight="1" x14ac:dyDescent="0.3">
      <c r="D7" s="19"/>
      <c r="E7" s="101">
        <v>4</v>
      </c>
      <c r="F7" s="102">
        <v>45717</v>
      </c>
      <c r="G7" s="103">
        <f>'Consolidated P&amp;L'!E8</f>
        <v>255734.45</v>
      </c>
      <c r="H7" s="104">
        <f t="shared" si="0"/>
        <v>0.15657855527295991</v>
      </c>
      <c r="I7" s="19"/>
      <c r="J7" s="101">
        <v>4</v>
      </c>
      <c r="K7" s="102">
        <v>45717</v>
      </c>
      <c r="L7" s="103">
        <f>'Consolidated P&amp;L'!E22+'Consolidated P&amp;L'!E17+'Consolidated P&amp;L'!E18</f>
        <v>30559.559999999998</v>
      </c>
      <c r="M7" s="104">
        <f t="shared" si="1"/>
        <v>0.10516106073844328</v>
      </c>
      <c r="N7" s="19"/>
      <c r="O7" s="101">
        <v>4</v>
      </c>
      <c r="P7" s="102">
        <v>45717</v>
      </c>
      <c r="Q7" s="103">
        <f>'Consolidated P&amp;L'!E36</f>
        <v>109</v>
      </c>
      <c r="R7" s="104">
        <f t="shared" si="2"/>
        <v>0.15957446808510639</v>
      </c>
    </row>
    <row r="8" spans="4:18" ht="14.25" customHeight="1" x14ac:dyDescent="0.3">
      <c r="D8" s="19"/>
      <c r="E8" s="101">
        <v>5</v>
      </c>
      <c r="F8" s="102">
        <v>46082</v>
      </c>
      <c r="G8" s="103">
        <f>'Consolidated P&amp;L'!F8</f>
        <v>285874.36</v>
      </c>
      <c r="H8" s="104">
        <f t="shared" si="0"/>
        <v>0.11785627630536274</v>
      </c>
      <c r="I8" s="19"/>
      <c r="J8" s="101">
        <v>5</v>
      </c>
      <c r="K8" s="102">
        <v>46082</v>
      </c>
      <c r="L8" s="103">
        <f>'Consolidated P&amp;L'!F22+'Consolidated P&amp;L'!F17+'Consolidated P&amp;L'!F18</f>
        <v>41907.160000000003</v>
      </c>
      <c r="M8" s="104">
        <f t="shared" si="1"/>
        <v>0.37132733586478361</v>
      </c>
      <c r="N8" s="19"/>
      <c r="O8" s="101">
        <v>5</v>
      </c>
      <c r="P8" s="102">
        <v>46082</v>
      </c>
      <c r="Q8" s="103">
        <f>'Consolidated P&amp;L'!F36</f>
        <v>117</v>
      </c>
      <c r="R8" s="104">
        <f t="shared" si="2"/>
        <v>7.3394495412844041E-2</v>
      </c>
    </row>
    <row r="9" spans="4:18" ht="14.25" customHeight="1" x14ac:dyDescent="0.3">
      <c r="D9" s="19"/>
      <c r="E9" s="105">
        <v>6</v>
      </c>
      <c r="F9" s="106">
        <v>46447</v>
      </c>
      <c r="G9" s="107">
        <f>FORECAST(E9,$G$4:$G$8,$E$4:$E$8)</f>
        <v>319846.73300000001</v>
      </c>
      <c r="H9" s="108">
        <f t="shared" si="0"/>
        <v>0.11883672603587123</v>
      </c>
      <c r="I9" s="19"/>
      <c r="J9" s="105">
        <v>6</v>
      </c>
      <c r="K9" s="106">
        <v>46447</v>
      </c>
      <c r="L9" s="107">
        <f>FORECAST(J9,$L$4:$L$8,$J$4:$J$8)</f>
        <v>43773.847000000002</v>
      </c>
      <c r="M9" s="108">
        <f t="shared" si="1"/>
        <v>4.454339067596081E-2</v>
      </c>
      <c r="N9" s="19"/>
      <c r="O9" s="105">
        <v>6</v>
      </c>
      <c r="P9" s="106">
        <v>46447</v>
      </c>
      <c r="Q9" s="107">
        <f>FORECAST(O9,$Q$4:$Q$8,$O$4:$O$8)</f>
        <v>134.60000000000002</v>
      </c>
      <c r="R9" s="108">
        <f t="shared" si="2"/>
        <v>0.15042735042735061</v>
      </c>
    </row>
    <row r="10" spans="4:18" ht="14.25" customHeight="1" x14ac:dyDescent="0.3">
      <c r="D10" s="19"/>
      <c r="E10" s="105">
        <v>7</v>
      </c>
      <c r="F10" s="106">
        <v>46813</v>
      </c>
      <c r="G10" s="107">
        <f>FORECAST(E10,$G$4:$G$8,$E$4:$E$8)</f>
        <v>352956.73399999994</v>
      </c>
      <c r="H10" s="108">
        <f t="shared" si="0"/>
        <v>0.10351833420165005</v>
      </c>
      <c r="I10" s="19"/>
      <c r="J10" s="105">
        <v>7</v>
      </c>
      <c r="K10" s="106">
        <v>46813</v>
      </c>
      <c r="L10" s="107">
        <f>FORECAST(J10,$L$4:$L$8,$J$4:$J$8)</f>
        <v>48746.114000000001</v>
      </c>
      <c r="M10" s="108">
        <f t="shared" si="1"/>
        <v>0.11358990220804673</v>
      </c>
      <c r="N10" s="19"/>
      <c r="O10" s="105">
        <v>7</v>
      </c>
      <c r="P10" s="106">
        <v>46813</v>
      </c>
      <c r="Q10" s="107">
        <f>FORECAST(O10,$Q$4:$Q$8,$O$4:$O$8)</f>
        <v>149</v>
      </c>
      <c r="R10" s="108">
        <f t="shared" si="2"/>
        <v>0.10698365527488837</v>
      </c>
    </row>
    <row r="11" spans="4:18" ht="14.25" customHeight="1" x14ac:dyDescent="0.3">
      <c r="D11" s="19"/>
      <c r="E11" s="105">
        <v>8</v>
      </c>
      <c r="F11" s="106">
        <v>47178</v>
      </c>
      <c r="G11" s="107">
        <f>FORECAST(E11,$G$4:$G$8,$E$4:$E$8)</f>
        <v>386066.73499999999</v>
      </c>
      <c r="H11" s="108">
        <f t="shared" si="0"/>
        <v>9.3807534495148781E-2</v>
      </c>
      <c r="I11" s="19"/>
      <c r="J11" s="105">
        <v>8</v>
      </c>
      <c r="K11" s="106">
        <v>47178</v>
      </c>
      <c r="L11" s="107">
        <f>FORECAST(J11,$L$4:$L$8,$J$4:$J$8)</f>
        <v>53718.381000000001</v>
      </c>
      <c r="M11" s="108">
        <f t="shared" si="1"/>
        <v>0.10200335148766936</v>
      </c>
      <c r="N11" s="19"/>
      <c r="O11" s="105">
        <v>8</v>
      </c>
      <c r="P11" s="106">
        <v>47178</v>
      </c>
      <c r="Q11" s="107">
        <f>FORECAST(O11,$Q$4:$Q$8,$O$4:$O$8)</f>
        <v>163.4</v>
      </c>
      <c r="R11" s="108">
        <f t="shared" si="2"/>
        <v>9.6644295302013461E-2</v>
      </c>
    </row>
    <row r="12" spans="4:18" ht="14.25" customHeight="1" x14ac:dyDescent="0.3">
      <c r="D12" s="19"/>
      <c r="E12" s="105">
        <v>9</v>
      </c>
      <c r="F12" s="106">
        <v>47543</v>
      </c>
      <c r="G12" s="107">
        <f>FORECAST(E12,$G$4:$G$8,$E$4:$E$8)</f>
        <v>419176.73599999992</v>
      </c>
      <c r="H12" s="108">
        <f t="shared" si="0"/>
        <v>8.5762377325774866E-2</v>
      </c>
      <c r="I12" s="19"/>
      <c r="J12" s="105">
        <v>9</v>
      </c>
      <c r="K12" s="106">
        <v>47543</v>
      </c>
      <c r="L12" s="107">
        <f>FORECAST(J12,$L$4:$L$8,$J$4:$J$8)</f>
        <v>58690.648000000001</v>
      </c>
      <c r="M12" s="108">
        <f t="shared" si="1"/>
        <v>9.2561743437502328E-2</v>
      </c>
      <c r="N12" s="19"/>
      <c r="O12" s="105">
        <v>9</v>
      </c>
      <c r="P12" s="106">
        <v>47543</v>
      </c>
      <c r="Q12" s="107">
        <f>FORECAST(O12,$Q$4:$Q$8,$O$4:$O$8)</f>
        <v>177.8</v>
      </c>
      <c r="R12" s="108">
        <f t="shared" si="2"/>
        <v>8.8127294981640181E-2</v>
      </c>
    </row>
    <row r="13" spans="4:18" ht="14.25" customHeight="1" x14ac:dyDescent="0.3">
      <c r="D13" s="19"/>
      <c r="E13" s="105">
        <v>10</v>
      </c>
      <c r="F13" s="106">
        <v>47908</v>
      </c>
      <c r="G13" s="107">
        <f>FORECAST(E13,$G$4:$G$8,$E$4:$E$8)</f>
        <v>452286.73699999996</v>
      </c>
      <c r="H13" s="108">
        <f t="shared" si="0"/>
        <v>7.8988164553101661E-2</v>
      </c>
      <c r="I13" s="19"/>
      <c r="J13" s="105">
        <v>10</v>
      </c>
      <c r="K13" s="106">
        <v>47908</v>
      </c>
      <c r="L13" s="107">
        <f>FORECAST(J13,$L$4:$L$8,$J$4:$J$8)</f>
        <v>63662.915000000001</v>
      </c>
      <c r="M13" s="108">
        <f t="shared" si="1"/>
        <v>8.471991994363394E-2</v>
      </c>
      <c r="N13" s="19"/>
      <c r="O13" s="105">
        <v>10</v>
      </c>
      <c r="P13" s="106">
        <v>47908</v>
      </c>
      <c r="Q13" s="107">
        <f>FORECAST(O13,$Q$4:$Q$8,$O$4:$O$8)</f>
        <v>192.2</v>
      </c>
      <c r="R13" s="108">
        <f t="shared" si="2"/>
        <v>8.0989876265466679E-2</v>
      </c>
    </row>
    <row r="14" spans="4:18" ht="14.25" customHeight="1" x14ac:dyDescent="0.3"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4:18" ht="14.25" customHeight="1" x14ac:dyDescent="0.3">
      <c r="D15" s="19"/>
      <c r="E15" s="109" t="s">
        <v>716</v>
      </c>
      <c r="F15" s="19"/>
      <c r="G15" s="110">
        <f>AVERAGE(H5:H8)</f>
        <v>0.16295099021206497</v>
      </c>
      <c r="H15" s="19"/>
      <c r="I15" s="19"/>
      <c r="J15" s="109" t="s">
        <v>716</v>
      </c>
      <c r="K15" s="19"/>
      <c r="L15" s="110">
        <f>AVERAGE(M5:M8)</f>
        <v>0.20005323460209035</v>
      </c>
      <c r="M15" s="19"/>
      <c r="N15" s="19"/>
      <c r="O15" s="109" t="s">
        <v>716</v>
      </c>
      <c r="P15" s="19"/>
      <c r="Q15" s="110">
        <f>AVERAGE(R5:R8)</f>
        <v>0.17399492904653063</v>
      </c>
      <c r="R15" s="19"/>
    </row>
    <row r="16" spans="4:18" ht="14.25" customHeight="1" x14ac:dyDescent="0.3">
      <c r="D16" s="19"/>
      <c r="E16" s="109" t="s">
        <v>717</v>
      </c>
      <c r="F16" s="19"/>
      <c r="G16" s="110">
        <f>AVERAGE(H9:H13)</f>
        <v>9.6182627322309311E-2</v>
      </c>
      <c r="H16" s="19"/>
      <c r="I16" s="19"/>
      <c r="J16" s="109" t="s">
        <v>717</v>
      </c>
      <c r="K16" s="19"/>
      <c r="L16" s="110">
        <f>AVERAGE(M9:M13)</f>
        <v>8.7483661550562627E-2</v>
      </c>
      <c r="M16" s="19"/>
      <c r="N16" s="19"/>
      <c r="O16" s="109" t="s">
        <v>717</v>
      </c>
      <c r="P16" s="19"/>
      <c r="Q16" s="110">
        <f>AVERAGE(R9:R13)</f>
        <v>0.10463449445027187</v>
      </c>
      <c r="R16" s="19"/>
    </row>
    <row r="17" spans="4:18" ht="14.25" customHeight="1" x14ac:dyDescent="0.3"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</row>
  </sheetData>
  <mergeCells count="3">
    <mergeCell ref="E2:H2"/>
    <mergeCell ref="J2:M2"/>
    <mergeCell ref="O2:R2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28"/>
  <sheetViews>
    <sheetView zoomScaleNormal="100" workbookViewId="0">
      <selection activeCell="N4" sqref="N4"/>
    </sheetView>
  </sheetViews>
  <sheetFormatPr defaultColWidth="8.6640625" defaultRowHeight="14.4" x14ac:dyDescent="0.3"/>
  <cols>
    <col min="1" max="1" width="35" customWidth="1"/>
    <col min="2" max="12" width="11.33203125" customWidth="1"/>
    <col min="13" max="13" width="11.6640625" customWidth="1"/>
    <col min="14" max="15" width="7" customWidth="1"/>
    <col min="16" max="16" width="11.77734375" customWidth="1"/>
  </cols>
  <sheetData>
    <row r="1" spans="1:16" ht="14.25" customHeight="1" x14ac:dyDescent="0.3">
      <c r="A1" s="86" t="s">
        <v>718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6" ht="14.25" customHeight="1" x14ac:dyDescent="0.3">
      <c r="A2" s="111" t="s">
        <v>719</v>
      </c>
      <c r="B2" s="112" t="s">
        <v>720</v>
      </c>
      <c r="C2" s="112" t="s">
        <v>721</v>
      </c>
      <c r="D2" s="112" t="s">
        <v>722</v>
      </c>
      <c r="E2" s="112" t="s">
        <v>723</v>
      </c>
      <c r="F2" s="112" t="s">
        <v>724</v>
      </c>
      <c r="G2" s="112" t="s">
        <v>725</v>
      </c>
      <c r="H2" s="112" t="s">
        <v>726</v>
      </c>
      <c r="I2" s="112" t="s">
        <v>727</v>
      </c>
      <c r="J2" s="112" t="s">
        <v>728</v>
      </c>
      <c r="K2" s="112" t="s">
        <v>729</v>
      </c>
      <c r="L2" s="112" t="s">
        <v>730</v>
      </c>
    </row>
    <row r="3" spans="1:16" ht="14.25" customHeight="1" x14ac:dyDescent="0.3">
      <c r="A3" s="26" t="s">
        <v>713</v>
      </c>
      <c r="B3" s="113">
        <f>Assumptions!F3</f>
        <v>285874.36</v>
      </c>
      <c r="C3" s="113">
        <f t="shared" ref="C3:L3" si="0">B3*(1+C4)</f>
        <v>322474.66182776523</v>
      </c>
      <c r="D3" s="113">
        <f t="shared" si="0"/>
        <v>361412.92593694752</v>
      </c>
      <c r="E3" s="113">
        <f t="shared" si="0"/>
        <v>402421.45823549537</v>
      </c>
      <c r="F3" s="113">
        <f t="shared" si="0"/>
        <v>445153.07084349071</v>
      </c>
      <c r="G3" s="113">
        <f t="shared" si="0"/>
        <v>489181.01610723673</v>
      </c>
      <c r="H3" s="113">
        <f t="shared" si="0"/>
        <v>534001.80855321826</v>
      </c>
      <c r="I3" s="113">
        <f t="shared" si="0"/>
        <v>579041.18124243559</v>
      </c>
      <c r="J3" s="113">
        <f t="shared" si="0"/>
        <v>623663.29478800681</v>
      </c>
      <c r="K3" s="113">
        <f t="shared" si="0"/>
        <v>667183.1657996584</v>
      </c>
      <c r="L3" s="113">
        <f t="shared" si="0"/>
        <v>708882.11366213707</v>
      </c>
      <c r="M3" s="114" t="s">
        <v>693</v>
      </c>
      <c r="N3" s="115">
        <f>Assumptions!B25</f>
        <v>0.12802932668660882</v>
      </c>
      <c r="P3" s="15" t="s">
        <v>731</v>
      </c>
    </row>
    <row r="4" spans="1:16" ht="14.25" customHeight="1" x14ac:dyDescent="0.3">
      <c r="A4" s="26" t="s">
        <v>732</v>
      </c>
      <c r="B4" s="116"/>
      <c r="C4" s="33">
        <f>N3</f>
        <v>0.12802932668660882</v>
      </c>
      <c r="D4" s="117">
        <f t="shared" ref="D4:L4" si="1">C4-$O$4</f>
        <v>0.12074829038809673</v>
      </c>
      <c r="E4" s="117">
        <f t="shared" si="1"/>
        <v>0.11346725408958463</v>
      </c>
      <c r="F4" s="117">
        <f t="shared" si="1"/>
        <v>0.10618621779107254</v>
      </c>
      <c r="G4" s="117">
        <f t="shared" si="1"/>
        <v>9.8905181492560446E-2</v>
      </c>
      <c r="H4" s="117">
        <f t="shared" si="1"/>
        <v>9.1624145194048351E-2</v>
      </c>
      <c r="I4" s="117">
        <f t="shared" si="1"/>
        <v>8.4343108895536256E-2</v>
      </c>
      <c r="J4" s="117">
        <f t="shared" si="1"/>
        <v>7.7062072597024162E-2</v>
      </c>
      <c r="K4" s="117">
        <f t="shared" si="1"/>
        <v>6.9781036298512067E-2</v>
      </c>
      <c r="L4" s="117">
        <f t="shared" si="1"/>
        <v>6.2499999999999972E-2</v>
      </c>
      <c r="M4" s="115">
        <f>P4</f>
        <v>6.25E-2</v>
      </c>
      <c r="N4" s="115">
        <f>N3-M4</f>
        <v>6.5529326686608824E-2</v>
      </c>
      <c r="O4" s="115">
        <f>N4/9</f>
        <v>7.2810362985120912E-3</v>
      </c>
      <c r="P4" s="115">
        <f>Wacc!B10</f>
        <v>6.25E-2</v>
      </c>
    </row>
    <row r="5" spans="1:16" ht="14.25" customHeight="1" x14ac:dyDescent="0.3">
      <c r="A5" s="26"/>
      <c r="B5" s="116"/>
      <c r="C5" s="117"/>
      <c r="D5" s="117"/>
      <c r="E5" s="117"/>
      <c r="F5" s="117"/>
      <c r="G5" s="117"/>
      <c r="H5" s="117"/>
      <c r="I5" s="117"/>
      <c r="J5" s="117"/>
      <c r="K5" s="117"/>
      <c r="L5" s="117"/>
    </row>
    <row r="6" spans="1:16" ht="14.25" customHeight="1" x14ac:dyDescent="0.3">
      <c r="A6" s="86" t="s">
        <v>733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</row>
    <row r="7" spans="1:16" ht="14.25" customHeight="1" x14ac:dyDescent="0.3">
      <c r="A7" s="111" t="s">
        <v>719</v>
      </c>
      <c r="B7" s="112" t="s">
        <v>720</v>
      </c>
      <c r="C7" s="112" t="s">
        <v>721</v>
      </c>
      <c r="D7" s="112" t="s">
        <v>722</v>
      </c>
      <c r="E7" s="112" t="s">
        <v>723</v>
      </c>
      <c r="F7" s="112" t="s">
        <v>724</v>
      </c>
      <c r="G7" s="112" t="s">
        <v>725</v>
      </c>
      <c r="H7" s="112" t="s">
        <v>726</v>
      </c>
      <c r="I7" s="112" t="s">
        <v>727</v>
      </c>
      <c r="J7" s="112" t="s">
        <v>728</v>
      </c>
      <c r="K7" s="112" t="s">
        <v>729</v>
      </c>
      <c r="L7" s="112" t="s">
        <v>730</v>
      </c>
      <c r="M7" s="118" t="s">
        <v>734</v>
      </c>
      <c r="N7" s="115">
        <f>Assumptions!B24</f>
        <v>0.16295099021206497</v>
      </c>
    </row>
    <row r="8" spans="1:16" ht="14.25" customHeight="1" x14ac:dyDescent="0.3">
      <c r="A8" s="26" t="s">
        <v>713</v>
      </c>
      <c r="B8" s="113">
        <f>B3</f>
        <v>285874.36</v>
      </c>
      <c r="C8" s="113">
        <f t="shared" ref="C8:L8" si="2">B8*(1+C9)</f>
        <v>332457.87003824033</v>
      </c>
      <c r="D8" s="113">
        <f t="shared" si="2"/>
        <v>382921.57335930614</v>
      </c>
      <c r="E8" s="113">
        <f t="shared" si="2"/>
        <v>436771.27819676604</v>
      </c>
      <c r="F8" s="113">
        <f t="shared" si="2"/>
        <v>493318.88801143353</v>
      </c>
      <c r="G8" s="113">
        <f t="shared" si="2"/>
        <v>551681.52450718323</v>
      </c>
      <c r="H8" s="113">
        <f t="shared" si="2"/>
        <v>610791.37775263691</v>
      </c>
      <c r="I8" s="113">
        <f t="shared" si="2"/>
        <v>669417.37176492461</v>
      </c>
      <c r="J8" s="113">
        <f t="shared" si="2"/>
        <v>726198.98813555343</v>
      </c>
      <c r="K8" s="113">
        <f t="shared" si="2"/>
        <v>779691.69238838286</v>
      </c>
      <c r="L8" s="113">
        <f t="shared" si="2"/>
        <v>828422.42316265684</v>
      </c>
      <c r="N8" s="115">
        <f>M4</f>
        <v>6.25E-2</v>
      </c>
      <c r="O8" s="115">
        <f>N7-N8</f>
        <v>0.10045099021206497</v>
      </c>
      <c r="P8" s="115">
        <f>O8/9</f>
        <v>1.1161221134673886E-2</v>
      </c>
    </row>
    <row r="9" spans="1:16" ht="14.25" customHeight="1" x14ac:dyDescent="0.3">
      <c r="A9" s="26" t="s">
        <v>732</v>
      </c>
      <c r="B9" s="116"/>
      <c r="C9" s="119">
        <f>N7</f>
        <v>0.16295099021206497</v>
      </c>
      <c r="D9" s="117">
        <f t="shared" ref="D9:L9" si="3">C9-$P$8</f>
        <v>0.15178976907739108</v>
      </c>
      <c r="E9" s="117">
        <f t="shared" si="3"/>
        <v>0.1406285479427172</v>
      </c>
      <c r="F9" s="117">
        <f t="shared" si="3"/>
        <v>0.12946732680804332</v>
      </c>
      <c r="G9" s="117">
        <f t="shared" si="3"/>
        <v>0.11830610567336944</v>
      </c>
      <c r="H9" s="117">
        <f t="shared" si="3"/>
        <v>0.10714488453869556</v>
      </c>
      <c r="I9" s="117">
        <f t="shared" si="3"/>
        <v>9.5983663404021674E-2</v>
      </c>
      <c r="J9" s="117">
        <f t="shared" si="3"/>
        <v>8.4822442269347792E-2</v>
      </c>
      <c r="K9" s="117">
        <f t="shared" si="3"/>
        <v>7.366122113467391E-2</v>
      </c>
      <c r="L9" s="117">
        <f t="shared" si="3"/>
        <v>6.2500000000000028E-2</v>
      </c>
    </row>
    <row r="10" spans="1:16" ht="14.25" customHeight="1" x14ac:dyDescent="0.3">
      <c r="A10" s="2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6" ht="14.25" customHeight="1" x14ac:dyDescent="0.3">
      <c r="A11" s="86" t="s">
        <v>735</v>
      </c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6" ht="14.25" customHeight="1" x14ac:dyDescent="0.3">
      <c r="A12" s="111" t="s">
        <v>719</v>
      </c>
      <c r="B12" s="112" t="s">
        <v>720</v>
      </c>
      <c r="C12" s="112" t="s">
        <v>721</v>
      </c>
      <c r="D12" s="112" t="s">
        <v>722</v>
      </c>
      <c r="E12" s="112" t="s">
        <v>723</v>
      </c>
      <c r="F12" s="112" t="s">
        <v>724</v>
      </c>
      <c r="G12" s="112" t="s">
        <v>725</v>
      </c>
      <c r="H12" s="112" t="s">
        <v>726</v>
      </c>
      <c r="I12" s="112" t="s">
        <v>727</v>
      </c>
      <c r="J12" s="112" t="s">
        <v>728</v>
      </c>
      <c r="K12" s="112" t="s">
        <v>729</v>
      </c>
      <c r="L12" s="112" t="s">
        <v>730</v>
      </c>
      <c r="N12" s="115">
        <f>Assumptions!B47</f>
        <v>1.1522162004551096E-2</v>
      </c>
    </row>
    <row r="13" spans="1:16" ht="14.25" customHeight="1" x14ac:dyDescent="0.3">
      <c r="A13" s="26" t="s">
        <v>713</v>
      </c>
      <c r="B13" s="113">
        <f>B8</f>
        <v>285874.36</v>
      </c>
      <c r="C13" s="113">
        <f t="shared" ref="C13:L13" si="4">B13*(1+C14)</f>
        <v>289168.25068886735</v>
      </c>
      <c r="D13" s="113">
        <f t="shared" si="4"/>
        <v>294138.00214621541</v>
      </c>
      <c r="E13" s="113">
        <f t="shared" si="4"/>
        <v>300859.22328568686</v>
      </c>
      <c r="F13" s="113">
        <f t="shared" si="4"/>
        <v>309438.15624497941</v>
      </c>
      <c r="G13" s="113">
        <f t="shared" si="4"/>
        <v>320014.43645547563</v>
      </c>
      <c r="H13" s="113">
        <f t="shared" si="4"/>
        <v>332764.83024601749</v>
      </c>
      <c r="I13" s="113">
        <f t="shared" si="4"/>
        <v>347908.08826743875</v>
      </c>
      <c r="J13" s="113">
        <f t="shared" si="4"/>
        <v>365711.09885948617</v>
      </c>
      <c r="K13" s="113">
        <f t="shared" si="4"/>
        <v>386496.58018811553</v>
      </c>
      <c r="L13" s="113">
        <f t="shared" si="4"/>
        <v>410652.61644987273</v>
      </c>
      <c r="N13" s="115">
        <f>N8</f>
        <v>6.25E-2</v>
      </c>
      <c r="O13" s="115">
        <f>N12-N13</f>
        <v>-5.0977837995448902E-2</v>
      </c>
      <c r="P13" s="115">
        <f>O13/9</f>
        <v>-5.6642042217165444E-3</v>
      </c>
    </row>
    <row r="14" spans="1:16" ht="14.25" customHeight="1" x14ac:dyDescent="0.3">
      <c r="A14" s="26" t="s">
        <v>732</v>
      </c>
      <c r="B14" s="116"/>
      <c r="C14" s="117">
        <f>N12</f>
        <v>1.1522162004551096E-2</v>
      </c>
      <c r="D14" s="117">
        <f t="shared" ref="D14:L14" si="5">(C14)-($P$13)</f>
        <v>1.7186366226267642E-2</v>
      </c>
      <c r="E14" s="117">
        <f t="shared" si="5"/>
        <v>2.2850570447984185E-2</v>
      </c>
      <c r="F14" s="117">
        <f t="shared" si="5"/>
        <v>2.8514774669700729E-2</v>
      </c>
      <c r="G14" s="117">
        <f t="shared" si="5"/>
        <v>3.4178978891417272E-2</v>
      </c>
      <c r="H14" s="117">
        <f t="shared" si="5"/>
        <v>3.9843183113133819E-2</v>
      </c>
      <c r="I14" s="117">
        <f t="shared" si="5"/>
        <v>4.5507387334850366E-2</v>
      </c>
      <c r="J14" s="117">
        <f t="shared" si="5"/>
        <v>5.1171591556566913E-2</v>
      </c>
      <c r="K14" s="117">
        <f t="shared" si="5"/>
        <v>5.683579577828346E-2</v>
      </c>
      <c r="L14" s="117">
        <f t="shared" si="5"/>
        <v>6.25E-2</v>
      </c>
      <c r="P14" s="120"/>
    </row>
    <row r="15" spans="1:16" ht="14.25" customHeight="1" x14ac:dyDescent="0.3">
      <c r="A15" s="2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</row>
    <row r="16" spans="1:16" ht="14.25" customHeight="1" x14ac:dyDescent="0.3">
      <c r="A16" s="86" t="s">
        <v>736</v>
      </c>
      <c r="B16" s="121">
        <v>3</v>
      </c>
      <c r="C16" s="116"/>
      <c r="D16" s="116"/>
      <c r="E16" s="116"/>
      <c r="F16" s="116"/>
      <c r="G16" s="116"/>
      <c r="H16" s="116"/>
      <c r="I16" s="116"/>
      <c r="J16" s="116"/>
      <c r="K16" s="116"/>
      <c r="L16" s="116"/>
    </row>
    <row r="17" spans="1:12" ht="14.25" customHeight="1" x14ac:dyDescent="0.3">
      <c r="A17" s="111" t="s">
        <v>719</v>
      </c>
      <c r="B17" s="112"/>
      <c r="C17" s="112" t="s">
        <v>721</v>
      </c>
      <c r="D17" s="112" t="s">
        <v>722</v>
      </c>
      <c r="E17" s="112" t="s">
        <v>723</v>
      </c>
      <c r="F17" s="112" t="s">
        <v>724</v>
      </c>
      <c r="G17" s="112" t="s">
        <v>725</v>
      </c>
      <c r="H17" s="112" t="s">
        <v>726</v>
      </c>
      <c r="I17" s="112" t="s">
        <v>727</v>
      </c>
      <c r="J17" s="112" t="s">
        <v>728</v>
      </c>
      <c r="K17" s="112" t="s">
        <v>729</v>
      </c>
      <c r="L17" s="112" t="s">
        <v>730</v>
      </c>
    </row>
    <row r="18" spans="1:12" ht="14.25" customHeight="1" x14ac:dyDescent="0.3">
      <c r="A18" s="26" t="s">
        <v>713</v>
      </c>
      <c r="B18" s="113">
        <f>B13</f>
        <v>285874.36</v>
      </c>
      <c r="C18" s="113">
        <f t="shared" ref="C18:L18" si="6">B18*(1+C19)</f>
        <v>289168.25068886735</v>
      </c>
      <c r="D18" s="113">
        <f t="shared" si="6"/>
        <v>294138.00214621541</v>
      </c>
      <c r="E18" s="113">
        <f t="shared" si="6"/>
        <v>300859.22328568686</v>
      </c>
      <c r="F18" s="113">
        <f t="shared" si="6"/>
        <v>309438.15624497941</v>
      </c>
      <c r="G18" s="113">
        <f t="shared" si="6"/>
        <v>320014.43645547563</v>
      </c>
      <c r="H18" s="113">
        <f t="shared" si="6"/>
        <v>332764.83024601749</v>
      </c>
      <c r="I18" s="113">
        <f t="shared" si="6"/>
        <v>347908.08826743875</v>
      </c>
      <c r="J18" s="113">
        <f t="shared" si="6"/>
        <v>365711.09885948617</v>
      </c>
      <c r="K18" s="113">
        <f t="shared" si="6"/>
        <v>386496.58018811553</v>
      </c>
      <c r="L18" s="113">
        <f t="shared" si="6"/>
        <v>410652.61644987273</v>
      </c>
    </row>
    <row r="19" spans="1:12" ht="14.25" customHeight="1" x14ac:dyDescent="0.3">
      <c r="A19" s="26" t="s">
        <v>732</v>
      </c>
      <c r="B19" s="116"/>
      <c r="C19" s="117">
        <f t="shared" ref="C19:L19" si="7">CHOOSE($B$16,C4,C9,C14)</f>
        <v>1.1522162004551096E-2</v>
      </c>
      <c r="D19" s="117">
        <f t="shared" si="7"/>
        <v>1.7186366226267642E-2</v>
      </c>
      <c r="E19" s="117">
        <f t="shared" si="7"/>
        <v>2.2850570447984185E-2</v>
      </c>
      <c r="F19" s="117">
        <f t="shared" si="7"/>
        <v>2.8514774669700729E-2</v>
      </c>
      <c r="G19" s="117">
        <f t="shared" si="7"/>
        <v>3.4178978891417272E-2</v>
      </c>
      <c r="H19" s="117">
        <f t="shared" si="7"/>
        <v>3.9843183113133819E-2</v>
      </c>
      <c r="I19" s="117">
        <f t="shared" si="7"/>
        <v>4.5507387334850366E-2</v>
      </c>
      <c r="J19" s="117">
        <f t="shared" si="7"/>
        <v>5.1171591556566913E-2</v>
      </c>
      <c r="K19" s="117">
        <f t="shared" si="7"/>
        <v>5.683579577828346E-2</v>
      </c>
      <c r="L19" s="117">
        <f t="shared" si="7"/>
        <v>6.25E-2</v>
      </c>
    </row>
    <row r="21" spans="1:12" ht="14.25" customHeight="1" x14ac:dyDescent="0.3">
      <c r="A21" s="118" t="s">
        <v>737</v>
      </c>
    </row>
    <row r="22" spans="1:12" ht="14.25" customHeight="1" x14ac:dyDescent="0.3">
      <c r="A22" t="s">
        <v>738</v>
      </c>
      <c r="B22" s="122">
        <f>'Consolidated P&amp;L'!E39*'Consolidated P&amp;L'!E36/'Consolidated P&amp;L'!E34</f>
        <v>27.904506251533704</v>
      </c>
    </row>
    <row r="23" spans="1:12" ht="14.25" customHeight="1" x14ac:dyDescent="0.3">
      <c r="A23" t="s">
        <v>739</v>
      </c>
      <c r="B23" s="122">
        <f>'Consolidated P&amp;L'!E36</f>
        <v>109</v>
      </c>
    </row>
    <row r="24" spans="1:12" ht="14.25" customHeight="1" x14ac:dyDescent="0.3">
      <c r="A24" t="s">
        <v>740</v>
      </c>
      <c r="B24" s="115">
        <f>Assumptions!F17/SUM('Consolidated Balance sheet'!F6,'Consolidated Balance sheet'!F9)</f>
        <v>0.1648090672688575</v>
      </c>
    </row>
    <row r="25" spans="1:12" ht="14.25" customHeight="1" x14ac:dyDescent="0.3">
      <c r="A25" t="s">
        <v>741</v>
      </c>
      <c r="B25" s="115">
        <f>B22/B23</f>
        <v>0.25600464450948351</v>
      </c>
      <c r="C25" s="15" t="s">
        <v>742</v>
      </c>
    </row>
    <row r="26" spans="1:12" ht="14.25" customHeight="1" x14ac:dyDescent="0.3">
      <c r="A26" t="s">
        <v>743</v>
      </c>
      <c r="B26" s="115">
        <f>1-B25</f>
        <v>0.74399535549051654</v>
      </c>
    </row>
    <row r="28" spans="1:12" ht="14.25" customHeight="1" x14ac:dyDescent="0.3">
      <c r="A28" s="118" t="s">
        <v>744</v>
      </c>
      <c r="B28" s="114">
        <f>B26*B24</f>
        <v>0.12261718059075409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31"/>
  <sheetViews>
    <sheetView zoomScaleNormal="100" workbookViewId="0">
      <selection activeCell="F20" sqref="F20"/>
    </sheetView>
  </sheetViews>
  <sheetFormatPr defaultColWidth="8.6640625" defaultRowHeight="14.4" x14ac:dyDescent="0.3"/>
  <cols>
    <col min="1" max="1" width="29.77734375" customWidth="1"/>
    <col min="2" max="2" width="11.33203125" customWidth="1"/>
    <col min="3" max="7" width="12" customWidth="1"/>
    <col min="8" max="8" width="33.109375" customWidth="1"/>
    <col min="9" max="12" width="12" customWidth="1"/>
    <col min="13" max="13" width="7" customWidth="1"/>
    <col min="14" max="14" width="12.44140625" customWidth="1"/>
    <col min="16" max="16" width="42.21875" customWidth="1"/>
    <col min="17" max="17" width="7" customWidth="1"/>
  </cols>
  <sheetData>
    <row r="1" spans="1:17" ht="14.25" customHeight="1" x14ac:dyDescent="0.3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7" ht="14.25" customHeight="1" x14ac:dyDescent="0.3">
      <c r="A2" s="123" t="s">
        <v>745</v>
      </c>
      <c r="B2" s="124" t="s">
        <v>720</v>
      </c>
      <c r="C2" s="124" t="s">
        <v>721</v>
      </c>
      <c r="D2" s="124" t="s">
        <v>722</v>
      </c>
      <c r="E2" s="124" t="s">
        <v>723</v>
      </c>
      <c r="F2" s="124" t="s">
        <v>746</v>
      </c>
      <c r="G2" s="124" t="s">
        <v>725</v>
      </c>
      <c r="H2" s="124" t="s">
        <v>726</v>
      </c>
      <c r="I2" s="124" t="s">
        <v>727</v>
      </c>
      <c r="J2" s="124" t="s">
        <v>728</v>
      </c>
      <c r="K2" s="124" t="s">
        <v>729</v>
      </c>
      <c r="L2" s="124" t="s">
        <v>730</v>
      </c>
      <c r="M2" s="118"/>
      <c r="N2" s="123" t="s">
        <v>747</v>
      </c>
      <c r="P2" s="125" t="s">
        <v>748</v>
      </c>
      <c r="Q2" s="115">
        <v>0.04</v>
      </c>
    </row>
    <row r="3" spans="1:17" ht="14.25" customHeight="1" x14ac:dyDescent="0.3">
      <c r="A3" t="s">
        <v>749</v>
      </c>
      <c r="B3" s="126">
        <f>'Growth Scenario'!B18</f>
        <v>285874.36</v>
      </c>
      <c r="C3" s="126">
        <f>'Growth Scenario'!C18</f>
        <v>289168.25068886735</v>
      </c>
      <c r="D3" s="126">
        <f>'Growth Scenario'!D18</f>
        <v>294138.00214621541</v>
      </c>
      <c r="E3" s="126">
        <f>'Growth Scenario'!E18</f>
        <v>300859.22328568686</v>
      </c>
      <c r="F3" s="126">
        <f>'Growth Scenario'!F18</f>
        <v>309438.15624497941</v>
      </c>
      <c r="G3" s="126">
        <f>'Growth Scenario'!G18</f>
        <v>320014.43645547563</v>
      </c>
      <c r="H3" s="126">
        <f>'Growth Scenario'!H18</f>
        <v>332764.83024601749</v>
      </c>
      <c r="I3" s="126">
        <f>'Growth Scenario'!I18</f>
        <v>347908.08826743875</v>
      </c>
      <c r="J3" s="126">
        <f>'Growth Scenario'!J18</f>
        <v>365711.09885948617</v>
      </c>
      <c r="K3" s="126">
        <f>'Growth Scenario'!K18</f>
        <v>386496.58018811553</v>
      </c>
      <c r="L3" s="126">
        <f>'Growth Scenario'!L18</f>
        <v>410652.61644987273</v>
      </c>
      <c r="N3" s="127">
        <f>L3*(1+$Q$2)</f>
        <v>427078.72110786766</v>
      </c>
      <c r="P3" s="125" t="s">
        <v>750</v>
      </c>
      <c r="Q3" s="115">
        <f>Wacc!D26</f>
        <v>0.10473217998679625</v>
      </c>
    </row>
    <row r="4" spans="1:17" ht="14.25" customHeight="1" x14ac:dyDescent="0.3">
      <c r="A4" t="s">
        <v>612</v>
      </c>
      <c r="C4" s="115">
        <f>'Growth Scenario'!C19</f>
        <v>1.1522162004551096E-2</v>
      </c>
      <c r="D4" s="115">
        <f>'Growth Scenario'!D19</f>
        <v>1.7186366226267642E-2</v>
      </c>
      <c r="E4" s="115">
        <f>'Growth Scenario'!E19</f>
        <v>2.2850570447984185E-2</v>
      </c>
      <c r="F4" s="115">
        <f>'Growth Scenario'!F19</f>
        <v>2.8514774669700729E-2</v>
      </c>
      <c r="G4" s="115">
        <f>'Growth Scenario'!G19</f>
        <v>3.4178978891417272E-2</v>
      </c>
      <c r="H4" s="115">
        <f>'Growth Scenario'!H19</f>
        <v>3.9843183113133819E-2</v>
      </c>
      <c r="I4" s="115">
        <f>'Growth Scenario'!I19</f>
        <v>4.5507387334850366E-2</v>
      </c>
      <c r="J4" s="115">
        <f>'Growth Scenario'!J19</f>
        <v>5.1171591556566913E-2</v>
      </c>
      <c r="K4" s="115">
        <f>'Growth Scenario'!K19</f>
        <v>5.683579577828346E-2</v>
      </c>
      <c r="L4" s="115">
        <f>'Growth Scenario'!L19</f>
        <v>6.25E-2</v>
      </c>
      <c r="N4" s="128">
        <f>$Q$2</f>
        <v>0.04</v>
      </c>
      <c r="P4" s="125" t="s">
        <v>751</v>
      </c>
      <c r="Q4" s="115">
        <f>Q2*Q3</f>
        <v>4.1892871994718504E-3</v>
      </c>
    </row>
    <row r="5" spans="1:17" ht="14.25" customHeight="1" x14ac:dyDescent="0.3">
      <c r="A5" t="s">
        <v>643</v>
      </c>
      <c r="C5" s="129">
        <f t="shared" ref="C5:L5" si="0">C3*C6</f>
        <v>27741.186699862585</v>
      </c>
      <c r="D5" s="129">
        <f t="shared" si="0"/>
        <v>28217.956894037688</v>
      </c>
      <c r="E5" s="129">
        <f t="shared" si="0"/>
        <v>28862.753305943083</v>
      </c>
      <c r="F5" s="129">
        <f t="shared" si="0"/>
        <v>29685.768212809209</v>
      </c>
      <c r="G5" s="129">
        <f t="shared" si="0"/>
        <v>30700.397457930321</v>
      </c>
      <c r="H5" s="129">
        <f t="shared" si="0"/>
        <v>31923.599015492626</v>
      </c>
      <c r="I5" s="129">
        <f t="shared" si="0"/>
        <v>33376.358601013097</v>
      </c>
      <c r="J5" s="129">
        <f t="shared" si="0"/>
        <v>35084.279990989649</v>
      </c>
      <c r="K5" s="129">
        <f t="shared" si="0"/>
        <v>37078.322963585655</v>
      </c>
      <c r="L5" s="129">
        <f t="shared" si="0"/>
        <v>39395.718148809756</v>
      </c>
      <c r="N5" s="127">
        <f>N6*N3</f>
        <v>40971.546874762149</v>
      </c>
      <c r="P5" s="125"/>
    </row>
    <row r="6" spans="1:17" ht="14.25" customHeight="1" x14ac:dyDescent="0.3">
      <c r="A6" t="s">
        <v>752</v>
      </c>
      <c r="C6" s="115">
        <f>AVERAGE(Assumptions!B29:F29)</f>
        <v>9.5934414078227809E-2</v>
      </c>
      <c r="D6" s="115">
        <f t="shared" ref="D6:L6" si="1">C6</f>
        <v>9.5934414078227809E-2</v>
      </c>
      <c r="E6" s="115">
        <f t="shared" si="1"/>
        <v>9.5934414078227809E-2</v>
      </c>
      <c r="F6" s="115">
        <f t="shared" si="1"/>
        <v>9.5934414078227809E-2</v>
      </c>
      <c r="G6" s="115">
        <f t="shared" si="1"/>
        <v>9.5934414078227809E-2</v>
      </c>
      <c r="H6" s="115">
        <f t="shared" si="1"/>
        <v>9.5934414078227809E-2</v>
      </c>
      <c r="I6" s="115">
        <f t="shared" si="1"/>
        <v>9.5934414078227809E-2</v>
      </c>
      <c r="J6" s="115">
        <f t="shared" si="1"/>
        <v>9.5934414078227809E-2</v>
      </c>
      <c r="K6" s="115">
        <f t="shared" si="1"/>
        <v>9.5934414078227809E-2</v>
      </c>
      <c r="L6" s="115">
        <f t="shared" si="1"/>
        <v>9.5934414078227809E-2</v>
      </c>
      <c r="N6" s="128">
        <f>L6</f>
        <v>9.5934414078227809E-2</v>
      </c>
      <c r="P6" s="125" t="s">
        <v>753</v>
      </c>
    </row>
    <row r="7" spans="1:17" ht="14.25" customHeight="1" x14ac:dyDescent="0.3">
      <c r="A7" t="s">
        <v>644</v>
      </c>
      <c r="C7" s="126">
        <f>Assumptions!$B$35*C5</f>
        <v>8322.3560099587758</v>
      </c>
      <c r="D7" s="126">
        <f>Assumptions!$B$35*D5</f>
        <v>8465.3870682113065</v>
      </c>
      <c r="E7" s="126">
        <f>Assumptions!$B$35*E5</f>
        <v>8658.8259917829237</v>
      </c>
      <c r="F7" s="126">
        <f>Assumptions!$B$35*F5</f>
        <v>8905.7304638427631</v>
      </c>
      <c r="G7" s="126">
        <f>Assumptions!$B$35*G5</f>
        <v>9210.1192373790964</v>
      </c>
      <c r="H7" s="126">
        <f>Assumptions!$B$35*H5</f>
        <v>9577.0797046477874</v>
      </c>
      <c r="I7" s="126">
        <f>Assumptions!$B$35*I5</f>
        <v>10012.907580303929</v>
      </c>
      <c r="J7" s="126">
        <f>Assumptions!$B$35*J5</f>
        <v>10525.283997296894</v>
      </c>
      <c r="K7" s="126">
        <f>Assumptions!$B$35*K5</f>
        <v>11123.496889075695</v>
      </c>
      <c r="L7" s="126">
        <f>Assumptions!$B$35*L5</f>
        <v>11818.715444642927</v>
      </c>
      <c r="N7" s="127">
        <f>Assumptions!$B$35*N5</f>
        <v>12291.464062428644</v>
      </c>
    </row>
    <row r="8" spans="1:17" ht="14.25" customHeight="1" x14ac:dyDescent="0.3">
      <c r="A8" s="130" t="s">
        <v>754</v>
      </c>
      <c r="B8" s="118"/>
      <c r="C8" s="131">
        <f t="shared" ref="C8:L8" si="2">C5-C7</f>
        <v>19418.830689903807</v>
      </c>
      <c r="D8" s="131">
        <f t="shared" si="2"/>
        <v>19752.56982582638</v>
      </c>
      <c r="E8" s="131">
        <f t="shared" si="2"/>
        <v>20203.927314160159</v>
      </c>
      <c r="F8" s="131">
        <f t="shared" si="2"/>
        <v>20780.037748966446</v>
      </c>
      <c r="G8" s="131">
        <f t="shared" si="2"/>
        <v>21490.278220551227</v>
      </c>
      <c r="H8" s="131">
        <f t="shared" si="2"/>
        <v>22346.519310844837</v>
      </c>
      <c r="I8" s="131">
        <f t="shared" si="2"/>
        <v>23363.451020709166</v>
      </c>
      <c r="J8" s="131">
        <f t="shared" si="2"/>
        <v>24558.995993692755</v>
      </c>
      <c r="K8" s="131">
        <f t="shared" si="2"/>
        <v>25954.826074509961</v>
      </c>
      <c r="L8" s="131">
        <f t="shared" si="2"/>
        <v>27577.002704166829</v>
      </c>
      <c r="M8" s="118"/>
      <c r="N8" s="127">
        <f>N5-N7</f>
        <v>28680.082812333505</v>
      </c>
      <c r="O8" s="118"/>
      <c r="P8" s="118"/>
      <c r="Q8" s="118"/>
    </row>
    <row r="9" spans="1:17" ht="14.25" customHeight="1" x14ac:dyDescent="0.3">
      <c r="A9" t="s">
        <v>755</v>
      </c>
      <c r="C9" s="132">
        <f>C3*'Fixed Assets scheduled'!$C$11</f>
        <v>293.95274986815809</v>
      </c>
      <c r="D9" s="132">
        <f>D3*'Fixed Assets scheduled'!$C$11</f>
        <v>299.00472948061076</v>
      </c>
      <c r="E9" s="132">
        <f>E3*'Fixed Assets scheduled'!$C$11</f>
        <v>305.83715811588792</v>
      </c>
      <c r="F9" s="132">
        <f>F3*'Fixed Assets scheduled'!$C$11</f>
        <v>314.55803576518412</v>
      </c>
      <c r="G9" s="132">
        <f>G3*'Fixed Assets scheduled'!$C$11</f>
        <v>325.309308229728</v>
      </c>
      <c r="H9" s="132">
        <f>H3*'Fixed Assets scheduled'!$C$11</f>
        <v>338.27066656593195</v>
      </c>
      <c r="I9" s="132">
        <f>I3*'Fixed Assets scheduled'!$C$11</f>
        <v>353.66448081336586</v>
      </c>
      <c r="J9" s="132">
        <f>J3*'Fixed Assets scheduled'!$C$11</f>
        <v>371.76205517361274</v>
      </c>
      <c r="K9" s="132">
        <f>K3*'Fixed Assets scheduled'!$C$11</f>
        <v>392.89144741957512</v>
      </c>
      <c r="L9" s="132">
        <f>L3*'Fixed Assets scheduled'!$C$11</f>
        <v>417.44716288329852</v>
      </c>
    </row>
    <row r="10" spans="1:17" ht="14.25" customHeight="1" x14ac:dyDescent="0.3">
      <c r="A10" t="s">
        <v>756</v>
      </c>
      <c r="B10" s="122">
        <f>'Change in working capital'!F5</f>
        <v>536.55999999999767</v>
      </c>
      <c r="C10" s="126">
        <f>'Change in working capital'!$C$9*C3</f>
        <v>1028.252669094519</v>
      </c>
      <c r="D10" s="126">
        <f>'Change in working capital'!$C$9*D3</f>
        <v>1045.9245960387148</v>
      </c>
      <c r="E10" s="126">
        <f>'Change in working capital'!$C$9*E3</f>
        <v>1069.8245697037769</v>
      </c>
      <c r="F10" s="126">
        <f>'Change in working capital'!$C$9*F3</f>
        <v>1100.3303762449896</v>
      </c>
      <c r="G10" s="126">
        <f>'Change in working capital'!$C$9*G3</f>
        <v>1137.9385449482525</v>
      </c>
      <c r="H10" s="126">
        <f>'Change in working capital'!$C$9*H3</f>
        <v>1183.2776387661186</v>
      </c>
      <c r="I10" s="126">
        <f>'Change in working capital'!$C$9*I3</f>
        <v>1237.1255125981156</v>
      </c>
      <c r="J10" s="126">
        <f>'Change in working capital'!$C$9*J3</f>
        <v>1300.4311940329949</v>
      </c>
      <c r="K10" s="126">
        <f>'Change in working capital'!$C$9*K3</f>
        <v>1374.3422358007635</v>
      </c>
      <c r="L10" s="126">
        <f>'Change in working capital'!$C$9*L3</f>
        <v>1460.238625538311</v>
      </c>
    </row>
    <row r="11" spans="1:17" ht="14.25" customHeight="1" x14ac:dyDescent="0.3">
      <c r="A11" t="s">
        <v>757</v>
      </c>
      <c r="C11" s="126">
        <f t="shared" ref="C11:L11" si="3">C10-B10</f>
        <v>491.69266909452131</v>
      </c>
      <c r="D11" s="126">
        <f t="shared" si="3"/>
        <v>17.671926944195775</v>
      </c>
      <c r="E11" s="126">
        <f t="shared" si="3"/>
        <v>23.899973665062134</v>
      </c>
      <c r="F11" s="126">
        <f t="shared" si="3"/>
        <v>30.505806541212678</v>
      </c>
      <c r="G11" s="126">
        <f t="shared" si="3"/>
        <v>37.608168703262891</v>
      </c>
      <c r="H11" s="126">
        <f t="shared" si="3"/>
        <v>45.339093817866114</v>
      </c>
      <c r="I11" s="126">
        <f t="shared" si="3"/>
        <v>53.847873831997049</v>
      </c>
      <c r="J11" s="126">
        <f t="shared" si="3"/>
        <v>63.305681434879261</v>
      </c>
      <c r="K11" s="126">
        <f t="shared" si="3"/>
        <v>73.911041767768666</v>
      </c>
      <c r="L11" s="126">
        <f t="shared" si="3"/>
        <v>85.896389737547452</v>
      </c>
    </row>
    <row r="12" spans="1:17" ht="14.25" customHeight="1" x14ac:dyDescent="0.3">
      <c r="A12" t="s">
        <v>649</v>
      </c>
      <c r="C12" s="132">
        <f t="shared" ref="C12:L12" si="4">C9+C11</f>
        <v>785.6454189626794</v>
      </c>
      <c r="D12" s="132">
        <f t="shared" si="4"/>
        <v>316.67665642480654</v>
      </c>
      <c r="E12" s="132">
        <f t="shared" si="4"/>
        <v>329.73713178095005</v>
      </c>
      <c r="F12" s="132">
        <f t="shared" si="4"/>
        <v>345.06384230639679</v>
      </c>
      <c r="G12" s="132">
        <f t="shared" si="4"/>
        <v>362.91747693299089</v>
      </c>
      <c r="H12" s="132">
        <f t="shared" si="4"/>
        <v>383.60976038379806</v>
      </c>
      <c r="I12" s="132">
        <f t="shared" si="4"/>
        <v>407.5123546453629</v>
      </c>
      <c r="J12" s="132">
        <f t="shared" si="4"/>
        <v>435.067736608492</v>
      </c>
      <c r="K12" s="132">
        <f t="shared" si="4"/>
        <v>466.80248918734378</v>
      </c>
      <c r="L12" s="132">
        <f t="shared" si="4"/>
        <v>503.34355262084597</v>
      </c>
      <c r="N12" s="127">
        <f>N8*N14</f>
        <v>120.14910380550138</v>
      </c>
    </row>
    <row r="13" spans="1:17" ht="14.25" customHeight="1" x14ac:dyDescent="0.3">
      <c r="A13" s="118" t="s">
        <v>758</v>
      </c>
      <c r="C13" s="131">
        <f t="shared" ref="C13:L13" si="5">C8-C12</f>
        <v>18633.185270941129</v>
      </c>
      <c r="D13" s="131">
        <f t="shared" si="5"/>
        <v>19435.893169401574</v>
      </c>
      <c r="E13" s="131">
        <f t="shared" si="5"/>
        <v>19874.19018237921</v>
      </c>
      <c r="F13" s="131">
        <f t="shared" si="5"/>
        <v>20434.973906660049</v>
      </c>
      <c r="G13" s="131">
        <f t="shared" si="5"/>
        <v>21127.360743618236</v>
      </c>
      <c r="H13" s="131">
        <f t="shared" si="5"/>
        <v>21962.909550461038</v>
      </c>
      <c r="I13" s="131">
        <f t="shared" si="5"/>
        <v>22955.938666063805</v>
      </c>
      <c r="J13" s="131">
        <f t="shared" si="5"/>
        <v>24123.928257084262</v>
      </c>
      <c r="K13" s="131">
        <f t="shared" si="5"/>
        <v>25488.023585322619</v>
      </c>
      <c r="L13" s="131">
        <f t="shared" si="5"/>
        <v>27073.659151545984</v>
      </c>
      <c r="N13" s="127">
        <f>N8-N12</f>
        <v>28559.933708528002</v>
      </c>
    </row>
    <row r="14" spans="1:17" ht="14.25" customHeight="1" x14ac:dyDescent="0.3">
      <c r="A14" t="s">
        <v>759</v>
      </c>
      <c r="C14" s="133">
        <f t="shared" ref="C14:L14" si="6">C13/C8</f>
        <v>0.95954208409823827</v>
      </c>
      <c r="D14" s="133">
        <f t="shared" si="6"/>
        <v>0.98396782498595436</v>
      </c>
      <c r="E14" s="133">
        <f t="shared" si="6"/>
        <v>0.98367955266054397</v>
      </c>
      <c r="F14" s="133">
        <f t="shared" si="6"/>
        <v>0.98339445546370285</v>
      </c>
      <c r="G14" s="133">
        <f t="shared" si="6"/>
        <v>0.98311248122483907</v>
      </c>
      <c r="H14" s="133">
        <f t="shared" si="6"/>
        <v>0.9828335789100886</v>
      </c>
      <c r="I14" s="133">
        <f t="shared" si="6"/>
        <v>0.98255769859152464</v>
      </c>
      <c r="J14" s="133">
        <f t="shared" si="6"/>
        <v>0.9822847914173598</v>
      </c>
      <c r="K14" s="133">
        <f t="shared" si="6"/>
        <v>0.98201480958310927</v>
      </c>
      <c r="L14" s="133">
        <f t="shared" si="6"/>
        <v>0.98174770630367347</v>
      </c>
      <c r="N14" s="91">
        <f>$Q$4</f>
        <v>4.1892871994718504E-3</v>
      </c>
    </row>
    <row r="16" spans="1:17" ht="14.25" customHeight="1" x14ac:dyDescent="0.3">
      <c r="A16" t="s">
        <v>760</v>
      </c>
      <c r="L16" s="131">
        <f>L13/(Q3-Q2)</f>
        <v>418241.11527015362</v>
      </c>
    </row>
    <row r="18" spans="1:17" ht="14.25" customHeight="1" x14ac:dyDescent="0.3">
      <c r="A18" t="s">
        <v>761</v>
      </c>
      <c r="C18">
        <f t="shared" ref="C18:L18" si="7">1/(1+$Q$3)^C1</f>
        <v>0.90519676905940416</v>
      </c>
      <c r="D18">
        <f t="shared" si="7"/>
        <v>0.81938119071558413</v>
      </c>
      <c r="E18">
        <f t="shared" si="7"/>
        <v>0.74170120646379412</v>
      </c>
      <c r="F18">
        <f t="shared" si="7"/>
        <v>0.67138553569848847</v>
      </c>
      <c r="G18">
        <f t="shared" si="7"/>
        <v>0.60773601770748897</v>
      </c>
      <c r="H18">
        <f t="shared" si="7"/>
        <v>0.55012067966984779</v>
      </c>
      <c r="I18">
        <f t="shared" si="7"/>
        <v>0.49796746182990964</v>
      </c>
      <c r="J18">
        <f t="shared" si="7"/>
        <v>0.45075853754514633</v>
      </c>
      <c r="K18">
        <f t="shared" si="7"/>
        <v>0.40802517181180853</v>
      </c>
      <c r="L18">
        <f t="shared" si="7"/>
        <v>0.36934306721895732</v>
      </c>
    </row>
    <row r="20" spans="1:17" ht="14.25" customHeight="1" x14ac:dyDescent="0.3">
      <c r="A20" t="s">
        <v>762</v>
      </c>
      <c r="C20" s="132">
        <f>SUMPRODUCT(C18:L18,C13:L13)</f>
        <v>128879.27059068606</v>
      </c>
    </row>
    <row r="21" spans="1:17" ht="14.25" customHeight="1" x14ac:dyDescent="0.3">
      <c r="A21" t="s">
        <v>763</v>
      </c>
      <c r="C21" s="126">
        <f>L16*L18</f>
        <v>154474.45635095602</v>
      </c>
    </row>
    <row r="22" spans="1:17" ht="14.25" customHeight="1" x14ac:dyDescent="0.3">
      <c r="C22" s="126"/>
      <c r="H22" s="134" t="s">
        <v>764</v>
      </c>
      <c r="I22" s="135"/>
      <c r="J22" s="135"/>
      <c r="K22" s="135"/>
      <c r="L22" s="135"/>
    </row>
    <row r="23" spans="1:17" ht="35.25" customHeight="1" x14ac:dyDescent="0.3">
      <c r="A23" s="118" t="s">
        <v>765</v>
      </c>
      <c r="C23" s="131">
        <f>C20+C21</f>
        <v>283353.72694164212</v>
      </c>
      <c r="H23" s="136" t="s">
        <v>766</v>
      </c>
      <c r="I23" s="114"/>
      <c r="J23" s="114"/>
      <c r="K23" s="114"/>
      <c r="L23" s="114"/>
    </row>
    <row r="24" spans="1:17" ht="14.25" customHeight="1" x14ac:dyDescent="0.3">
      <c r="A24" s="137" t="s">
        <v>767</v>
      </c>
      <c r="C24" s="122">
        <f>Assumptions!F41</f>
        <v>20847.669999999998</v>
      </c>
      <c r="H24" s="138">
        <f>C30</f>
        <v>1187.7334468730785</v>
      </c>
      <c r="I24" s="110">
        <f>J24-1%</f>
        <v>8.4732179986796261E-2</v>
      </c>
      <c r="J24" s="110">
        <f>K24-1%</f>
        <v>9.4732179986796256E-2</v>
      </c>
      <c r="K24" s="110">
        <f>$Q$3</f>
        <v>0.10473217998679625</v>
      </c>
      <c r="L24" s="110">
        <f>K24+1%</f>
        <v>0.11473217998679625</v>
      </c>
      <c r="M24" s="110">
        <f>L24+1%</f>
        <v>0.12473217998679624</v>
      </c>
    </row>
    <row r="25" spans="1:17" ht="14.25" customHeight="1" x14ac:dyDescent="0.3">
      <c r="A25" s="137" t="s">
        <v>768</v>
      </c>
      <c r="C25" s="122">
        <f>Assumptions!F40</f>
        <v>121683.01999999999</v>
      </c>
      <c r="H25" s="139">
        <f>H26-1%</f>
        <v>1.9999999999999997E-2</v>
      </c>
      <c r="I25">
        <v>1504.17</v>
      </c>
      <c r="J25">
        <v>1174.02</v>
      </c>
      <c r="K25">
        <v>922.5</v>
      </c>
      <c r="L25">
        <v>724.66</v>
      </c>
      <c r="M25">
        <v>565.09</v>
      </c>
      <c r="P25" s="127"/>
      <c r="Q25" s="127"/>
    </row>
    <row r="26" spans="1:17" ht="14.25" customHeight="1" x14ac:dyDescent="0.3">
      <c r="A26" s="137" t="s">
        <v>769</v>
      </c>
      <c r="C26" s="122">
        <f>'Consolidated Balance sheet'!F13</f>
        <v>19240.66</v>
      </c>
      <c r="H26" s="139">
        <f>H27-1%</f>
        <v>0.03</v>
      </c>
      <c r="I26">
        <v>1750.63</v>
      </c>
      <c r="J26">
        <v>1338.69</v>
      </c>
      <c r="K26">
        <v>1037.3699999999999</v>
      </c>
      <c r="L26">
        <v>807.47</v>
      </c>
      <c r="M26">
        <v>626.37</v>
      </c>
      <c r="P26" s="127"/>
      <c r="Q26" s="140"/>
    </row>
    <row r="27" spans="1:17" ht="15" customHeight="1" x14ac:dyDescent="0.3">
      <c r="A27" s="141" t="s">
        <v>770</v>
      </c>
      <c r="B27" s="142"/>
      <c r="C27" s="143">
        <f>C23+C24-C25-C26</f>
        <v>163277.71694164211</v>
      </c>
      <c r="H27" s="139">
        <f>$Q$2</f>
        <v>0.04</v>
      </c>
      <c r="I27">
        <v>2107.29</v>
      </c>
      <c r="J27">
        <v>1563.55</v>
      </c>
      <c r="K27" s="144">
        <v>1187.73</v>
      </c>
      <c r="L27">
        <v>912.45</v>
      </c>
      <c r="M27">
        <v>702.1</v>
      </c>
      <c r="P27" s="127"/>
      <c r="Q27" s="145"/>
    </row>
    <row r="28" spans="1:17" ht="15" customHeight="1" x14ac:dyDescent="0.3">
      <c r="H28" s="139">
        <f>H27+1%</f>
        <v>0.05</v>
      </c>
      <c r="I28">
        <v>2669.32</v>
      </c>
      <c r="J28">
        <v>1888.93</v>
      </c>
      <c r="K28">
        <v>1393.04</v>
      </c>
      <c r="L28">
        <v>1049.8499999999999</v>
      </c>
      <c r="M28">
        <v>798.11</v>
      </c>
      <c r="P28" s="127"/>
      <c r="Q28" s="127"/>
    </row>
    <row r="29" spans="1:17" ht="14.25" customHeight="1" x14ac:dyDescent="0.3">
      <c r="A29" s="137" t="s">
        <v>771</v>
      </c>
      <c r="C29" s="126">
        <f>'Consolidated P&amp;L'!F34/'Consolidated P&amp;L'!F36</f>
        <v>137.47</v>
      </c>
      <c r="H29" s="139">
        <f>H28+1%</f>
        <v>6.0000000000000005E-2</v>
      </c>
      <c r="I29">
        <v>3685.85</v>
      </c>
      <c r="J29">
        <v>2401.6799999999998</v>
      </c>
      <c r="K29">
        <v>1690.14</v>
      </c>
      <c r="L29">
        <v>1237.47</v>
      </c>
      <c r="M29">
        <v>923.77</v>
      </c>
      <c r="P29" s="127"/>
      <c r="Q29" s="127"/>
    </row>
    <row r="30" spans="1:17" ht="15" customHeight="1" x14ac:dyDescent="0.3">
      <c r="A30" s="141" t="s">
        <v>772</v>
      </c>
      <c r="B30" s="142"/>
      <c r="C30" s="146">
        <f>C27/C29</f>
        <v>1187.7334468730785</v>
      </c>
      <c r="E30" s="141"/>
    </row>
    <row r="31" spans="1:17" ht="15" customHeight="1" x14ac:dyDescent="0.3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47"/>
  <sheetViews>
    <sheetView topLeftCell="A16" zoomScaleNormal="100" workbookViewId="0">
      <selection activeCell="A27" sqref="A27:Q28"/>
    </sheetView>
  </sheetViews>
  <sheetFormatPr defaultColWidth="8.6640625" defaultRowHeight="14.4" x14ac:dyDescent="0.3"/>
  <cols>
    <col min="1" max="1" width="25.5546875" customWidth="1"/>
    <col min="2" max="2" width="8" customWidth="1"/>
    <col min="3" max="3" width="8" bestFit="1" customWidth="1"/>
    <col min="4" max="4" width="11.5546875" customWidth="1"/>
    <col min="5" max="5" width="7.88671875" customWidth="1"/>
    <col min="6" max="6" width="8" customWidth="1"/>
    <col min="7" max="7" width="7.88671875" customWidth="1"/>
    <col min="8" max="8" width="9" customWidth="1"/>
    <col min="9" max="9" width="6.44140625" customWidth="1"/>
    <col min="10" max="10" width="6.6640625" customWidth="1"/>
    <col min="11" max="11" width="7.6640625" customWidth="1"/>
    <col min="12" max="12" width="10.21875" customWidth="1"/>
    <col min="13" max="13" width="8.109375" customWidth="1"/>
    <col min="15" max="15" width="11.44140625" customWidth="1"/>
    <col min="16" max="16" width="10.21875" customWidth="1"/>
    <col min="17" max="17" width="9.5546875" customWidth="1"/>
  </cols>
  <sheetData>
    <row r="1" spans="1:17" ht="15" customHeight="1" x14ac:dyDescent="0.3">
      <c r="A1" s="304" t="s">
        <v>773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</row>
    <row r="2" spans="1:17" ht="14.25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7" ht="14.25" customHeight="1" x14ac:dyDescent="0.3">
      <c r="A3" s="305" t="s">
        <v>774</v>
      </c>
      <c r="B3" s="306" t="s">
        <v>775</v>
      </c>
      <c r="C3" s="306"/>
      <c r="D3" s="306"/>
      <c r="E3" s="306"/>
      <c r="F3" s="306" t="s">
        <v>776</v>
      </c>
      <c r="G3" s="306"/>
      <c r="H3" s="306"/>
      <c r="I3" s="306"/>
      <c r="J3" s="307" t="s">
        <v>777</v>
      </c>
      <c r="K3" s="307"/>
      <c r="L3" s="307"/>
      <c r="M3" s="307"/>
    </row>
    <row r="4" spans="1:17" ht="24" customHeight="1" x14ac:dyDescent="0.3">
      <c r="A4" s="305"/>
      <c r="B4" s="308" t="s">
        <v>778</v>
      </c>
      <c r="C4" s="308" t="s">
        <v>779</v>
      </c>
      <c r="D4" s="308" t="s">
        <v>780</v>
      </c>
      <c r="E4" s="308" t="s">
        <v>781</v>
      </c>
      <c r="F4" s="308" t="s">
        <v>782</v>
      </c>
      <c r="G4" s="308" t="s">
        <v>783</v>
      </c>
      <c r="H4" s="308" t="s">
        <v>784</v>
      </c>
      <c r="I4" s="308" t="s">
        <v>785</v>
      </c>
      <c r="J4" s="309" t="s">
        <v>786</v>
      </c>
      <c r="K4" s="309" t="s">
        <v>787</v>
      </c>
      <c r="L4" s="309" t="s">
        <v>788</v>
      </c>
      <c r="M4" s="309" t="s">
        <v>789</v>
      </c>
    </row>
    <row r="5" spans="1:17" ht="14.25" customHeight="1" x14ac:dyDescent="0.3">
      <c r="A5" s="147" t="s">
        <v>790</v>
      </c>
      <c r="B5" s="148">
        <v>4207.7</v>
      </c>
      <c r="C5" s="87">
        <f>'Consolidated Balance sheet'!I6</f>
        <v>137.52000000000001</v>
      </c>
      <c r="D5" s="148">
        <f>B5*C5</f>
        <v>578642.90399999998</v>
      </c>
      <c r="E5" s="149">
        <f>D5+'Consolidated Balance sheet'!E15+'Consolidated Balance sheet'!E21-'Consolidated Balance sheet'!E43-'Consolidated Balance sheet'!E40</f>
        <v>641876.28399999999</v>
      </c>
      <c r="F5" s="150">
        <f>Assumptions!E3</f>
        <v>255734.45</v>
      </c>
      <c r="G5" s="150">
        <f>Assumptions!E9</f>
        <v>26434.74000000002</v>
      </c>
      <c r="H5" s="87">
        <f>Assumptions!E11</f>
        <v>22313.560000000019</v>
      </c>
      <c r="I5" s="151">
        <f>'Consolidated P&amp;L'!E36</f>
        <v>109</v>
      </c>
      <c r="J5" s="152">
        <f>B5/I5</f>
        <v>38.602752293577979</v>
      </c>
      <c r="K5" s="152">
        <f>E5/F5</f>
        <v>2.5099327994331619</v>
      </c>
      <c r="L5" s="152">
        <f>E5/G5</f>
        <v>24.281543302487542</v>
      </c>
      <c r="M5" s="152">
        <f>E5/H5</f>
        <v>28.766197953172842</v>
      </c>
    </row>
    <row r="6" spans="1:17" ht="14.25" customHeight="1" x14ac:dyDescent="0.3">
      <c r="A6" s="153" t="s">
        <v>791</v>
      </c>
      <c r="B6" s="154">
        <v>245.14</v>
      </c>
      <c r="C6" s="87">
        <f>D6/B6</f>
        <v>208.45011014114385</v>
      </c>
      <c r="D6" s="154">
        <v>51099.46</v>
      </c>
      <c r="E6" s="96">
        <v>54950</v>
      </c>
      <c r="F6" s="150">
        <v>20412</v>
      </c>
      <c r="G6" s="155">
        <v>767</v>
      </c>
      <c r="H6" s="156">
        <f>1181+419</f>
        <v>1600</v>
      </c>
      <c r="I6" s="157">
        <v>4.2</v>
      </c>
      <c r="J6" s="152">
        <f>B6/I6</f>
        <v>58.36666666666666</v>
      </c>
      <c r="K6" s="152">
        <f>E6/F6</f>
        <v>2.6920438957475996</v>
      </c>
      <c r="L6" s="152">
        <f>E6/G6</f>
        <v>71.642764015645369</v>
      </c>
      <c r="M6" s="152">
        <f>E6/H6</f>
        <v>34.34375</v>
      </c>
    </row>
    <row r="7" spans="1:17" ht="14.25" customHeight="1" x14ac:dyDescent="0.3">
      <c r="A7" s="147" t="s">
        <v>792</v>
      </c>
      <c r="B7" s="148">
        <v>112.83</v>
      </c>
      <c r="C7" s="87">
        <f>D7/B7</f>
        <v>269.97527253390058</v>
      </c>
      <c r="D7" s="148">
        <v>30461.31</v>
      </c>
      <c r="E7" s="149">
        <v>23946</v>
      </c>
      <c r="F7" s="150">
        <v>12889</v>
      </c>
      <c r="G7" s="155">
        <v>617</v>
      </c>
      <c r="H7" s="14">
        <f>991</f>
        <v>991</v>
      </c>
      <c r="I7" s="157">
        <v>2.67</v>
      </c>
      <c r="J7" s="152">
        <f>B7/I7</f>
        <v>42.258426966292134</v>
      </c>
      <c r="K7" s="152">
        <f>E7/F7</f>
        <v>1.8578632942819457</v>
      </c>
      <c r="L7" s="152">
        <f>E7/G7</f>
        <v>38.810372771474881</v>
      </c>
      <c r="M7" s="152">
        <f>E7/H7</f>
        <v>24.163471241170534</v>
      </c>
    </row>
    <row r="8" spans="1:17" ht="14.25" customHeight="1" x14ac:dyDescent="0.3">
      <c r="A8" s="153" t="s">
        <v>793</v>
      </c>
      <c r="B8" s="154">
        <v>21.34</v>
      </c>
      <c r="C8" s="87">
        <f>D8/B8</f>
        <v>1207.7999062792878</v>
      </c>
      <c r="D8" s="154">
        <v>25774.45</v>
      </c>
      <c r="E8" s="149">
        <v>43891</v>
      </c>
      <c r="F8" s="150">
        <v>7648</v>
      </c>
      <c r="G8" s="150">
        <v>3982</v>
      </c>
      <c r="H8" s="156">
        <f>1248+1755</f>
        <v>3003</v>
      </c>
      <c r="I8" s="157">
        <v>0.7</v>
      </c>
      <c r="J8" s="152">
        <f>B8/I8</f>
        <v>30.485714285714288</v>
      </c>
      <c r="K8" s="152">
        <f>E8/F8</f>
        <v>5.7388859832635983</v>
      </c>
      <c r="L8" s="152">
        <f>E8/G8</f>
        <v>11.022350577599196</v>
      </c>
      <c r="M8" s="152">
        <f>E8/H8</f>
        <v>14.615717615717616</v>
      </c>
    </row>
    <row r="9" spans="1:17" ht="14.25" customHeight="1" x14ac:dyDescent="0.3">
      <c r="A9" s="147" t="s">
        <v>794</v>
      </c>
      <c r="B9" s="148">
        <v>1369.3</v>
      </c>
      <c r="C9" s="87">
        <f>D9/B9</f>
        <v>17.073504710435991</v>
      </c>
      <c r="D9" s="148">
        <v>23378.75</v>
      </c>
      <c r="E9" s="149">
        <v>25079</v>
      </c>
      <c r="F9" s="150">
        <v>27143</v>
      </c>
      <c r="G9" s="150">
        <v>2240</v>
      </c>
      <c r="H9" s="14">
        <f>1371+501</f>
        <v>1872</v>
      </c>
      <c r="I9" s="157">
        <v>60.9</v>
      </c>
      <c r="J9" s="152">
        <f>B9/I9</f>
        <v>22.484400656814451</v>
      </c>
      <c r="K9" s="152">
        <f>E9/F9</f>
        <v>0.9239582949563423</v>
      </c>
      <c r="L9" s="152">
        <f>E9/G9</f>
        <v>11.195982142857142</v>
      </c>
      <c r="M9" s="152">
        <f>E9/H9</f>
        <v>13.396901709401709</v>
      </c>
      <c r="O9" s="156"/>
    </row>
    <row r="10" spans="1:17" ht="14.25" customHeight="1" x14ac:dyDescent="0.3">
      <c r="A10" s="158" t="s">
        <v>795</v>
      </c>
      <c r="B10" s="159">
        <f t="shared" ref="B10:M10" si="0">AVERAGE(B6:B9)</f>
        <v>437.15249999999997</v>
      </c>
      <c r="C10" s="160">
        <f t="shared" si="0"/>
        <v>425.82469841619206</v>
      </c>
      <c r="D10" s="159">
        <f t="shared" si="0"/>
        <v>32678.4925</v>
      </c>
      <c r="E10" s="160">
        <f t="shared" si="0"/>
        <v>36966.5</v>
      </c>
      <c r="F10" s="160">
        <f t="shared" si="0"/>
        <v>17023</v>
      </c>
      <c r="G10" s="160">
        <f t="shared" si="0"/>
        <v>1901.5</v>
      </c>
      <c r="H10" s="160">
        <f t="shared" si="0"/>
        <v>1866.5</v>
      </c>
      <c r="I10" s="160">
        <f t="shared" si="0"/>
        <v>17.1175</v>
      </c>
      <c r="J10" s="160">
        <f t="shared" si="0"/>
        <v>38.398802143871883</v>
      </c>
      <c r="K10" s="160">
        <f t="shared" si="0"/>
        <v>2.8031878670623716</v>
      </c>
      <c r="L10" s="160">
        <f t="shared" si="0"/>
        <v>33.167867376894151</v>
      </c>
      <c r="M10" s="160">
        <f t="shared" si="0"/>
        <v>21.629960141572464</v>
      </c>
    </row>
    <row r="11" spans="1:17" ht="14.25" customHeight="1" x14ac:dyDescent="0.3">
      <c r="A11" s="161" t="s">
        <v>796</v>
      </c>
      <c r="B11" s="160">
        <f t="shared" ref="B11:M11" si="1">MEDIAN(B6:B9)</f>
        <v>178.98500000000001</v>
      </c>
      <c r="C11" s="160">
        <f t="shared" si="1"/>
        <v>239.21269133752222</v>
      </c>
      <c r="D11" s="160">
        <f t="shared" si="1"/>
        <v>28117.88</v>
      </c>
      <c r="E11" s="160">
        <f t="shared" si="1"/>
        <v>34485</v>
      </c>
      <c r="F11" s="160">
        <f t="shared" si="1"/>
        <v>16650.5</v>
      </c>
      <c r="G11" s="160">
        <f t="shared" si="1"/>
        <v>1503.5</v>
      </c>
      <c r="H11" s="160">
        <f t="shared" si="1"/>
        <v>1736</v>
      </c>
      <c r="I11" s="160">
        <f t="shared" si="1"/>
        <v>3.4350000000000001</v>
      </c>
      <c r="J11" s="160">
        <f t="shared" si="1"/>
        <v>36.372070626003207</v>
      </c>
      <c r="K11" s="160">
        <f t="shared" si="1"/>
        <v>2.2749535950147726</v>
      </c>
      <c r="L11" s="160">
        <f t="shared" si="1"/>
        <v>25.003177457166011</v>
      </c>
      <c r="M11" s="160">
        <f t="shared" si="1"/>
        <v>19.389594428444074</v>
      </c>
      <c r="P11" s="162"/>
      <c r="Q11" s="163"/>
    </row>
    <row r="12" spans="1:17" ht="14.25" customHeight="1" x14ac:dyDescent="0.3">
      <c r="P12" s="164"/>
    </row>
    <row r="13" spans="1:17" ht="14.25" customHeight="1" x14ac:dyDescent="0.3">
      <c r="A13" s="310" t="s">
        <v>797</v>
      </c>
      <c r="B13" s="310"/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</row>
    <row r="14" spans="1:17" ht="36" customHeight="1" x14ac:dyDescent="0.3">
      <c r="A14" s="311" t="s">
        <v>798</v>
      </c>
      <c r="B14" s="312" t="s">
        <v>799</v>
      </c>
      <c r="C14" s="312" t="s">
        <v>800</v>
      </c>
      <c r="D14" s="311" t="s">
        <v>801</v>
      </c>
      <c r="E14" s="309" t="s">
        <v>802</v>
      </c>
      <c r="F14" s="309" t="s">
        <v>803</v>
      </c>
      <c r="G14" s="309" t="s">
        <v>804</v>
      </c>
      <c r="H14" s="309" t="s">
        <v>805</v>
      </c>
      <c r="I14" s="313" t="s">
        <v>806</v>
      </c>
      <c r="J14" s="313" t="s">
        <v>807</v>
      </c>
      <c r="K14" s="311" t="s">
        <v>808</v>
      </c>
      <c r="L14" s="309" t="s">
        <v>809</v>
      </c>
      <c r="M14" s="309" t="s">
        <v>810</v>
      </c>
    </row>
    <row r="15" spans="1:17" ht="14.25" customHeight="1" x14ac:dyDescent="0.3">
      <c r="A15" s="161" t="s">
        <v>811</v>
      </c>
      <c r="B15" s="165">
        <f>K10</f>
        <v>2.8031878670623716</v>
      </c>
      <c r="C15" s="165">
        <f>K11</f>
        <v>2.2749535950147726</v>
      </c>
      <c r="D15" s="165">
        <f>K5</f>
        <v>2.5099327994331619</v>
      </c>
      <c r="E15" s="166">
        <f>B15*F5</f>
        <v>716871.70742986875</v>
      </c>
      <c r="F15" s="166">
        <f>C15*F5</f>
        <v>581784.00639662566</v>
      </c>
      <c r="G15" s="166">
        <f>E15-(E5-D5)</f>
        <v>653638.32742986875</v>
      </c>
      <c r="H15" s="166">
        <f>F15-(E5-D5)</f>
        <v>518550.62639662565</v>
      </c>
      <c r="I15" s="167">
        <f>G15/C5</f>
        <v>4753.0419388443042</v>
      </c>
      <c r="J15" s="167">
        <f>H15/C5</f>
        <v>3770.7288132389881</v>
      </c>
      <c r="K15" s="167">
        <f>B5</f>
        <v>4207.7</v>
      </c>
      <c r="L15" s="168">
        <f>(B5-I15)/I15</f>
        <v>-0.11473535177282773</v>
      </c>
      <c r="M15" s="168">
        <f>(B5-J15)/J15</f>
        <v>0.11588507378913344</v>
      </c>
    </row>
    <row r="16" spans="1:17" ht="14.25" customHeight="1" x14ac:dyDescent="0.3">
      <c r="A16" s="161" t="s">
        <v>812</v>
      </c>
      <c r="B16" s="165">
        <f>L10</f>
        <v>33.167867376894151</v>
      </c>
      <c r="C16" s="165">
        <f>L11</f>
        <v>25.003177457166011</v>
      </c>
      <c r="D16" s="165">
        <f>L5</f>
        <v>24.281543302487542</v>
      </c>
      <c r="E16" s="166">
        <f>B16*G5</f>
        <v>876783.9504626795</v>
      </c>
      <c r="F16" s="166">
        <f>C16*G5</f>
        <v>660952.49525404512</v>
      </c>
      <c r="G16" s="166">
        <f>E16-(E5-D5)</f>
        <v>813550.57046267949</v>
      </c>
      <c r="H16" s="166">
        <f>F16-(E5-D5)</f>
        <v>597719.11525404511</v>
      </c>
      <c r="I16" s="167">
        <f>G16/C5</f>
        <v>5915.8709312294895</v>
      </c>
      <c r="J16" s="167">
        <f>H16/C5</f>
        <v>4346.415904988693</v>
      </c>
      <c r="K16" s="167">
        <f>K15</f>
        <v>4207.7</v>
      </c>
      <c r="L16" s="168">
        <f>(B5-I16)/I16</f>
        <v>-0.28874377941752732</v>
      </c>
      <c r="M16" s="168">
        <f>(B5-J16)/J16</f>
        <v>-3.1915009520713147E-2</v>
      </c>
    </row>
    <row r="17" spans="1:17" ht="14.25" customHeight="1" x14ac:dyDescent="0.3">
      <c r="A17" s="161" t="s">
        <v>813</v>
      </c>
      <c r="B17" s="165">
        <f>J10</f>
        <v>38.398802143871883</v>
      </c>
      <c r="C17" s="165">
        <f>J11</f>
        <v>36.372070626003207</v>
      </c>
      <c r="D17" s="165">
        <f>J5</f>
        <v>38.602752293577979</v>
      </c>
      <c r="E17" s="167">
        <f>B17*I5</f>
        <v>4185.4694336820348</v>
      </c>
      <c r="F17" s="167">
        <f>C17*I5</f>
        <v>3964.5556982343496</v>
      </c>
      <c r="G17" s="166">
        <f>E17*C5</f>
        <v>575585.75651995349</v>
      </c>
      <c r="H17" s="166">
        <f>F17*C5</f>
        <v>545205.69962118776</v>
      </c>
      <c r="I17" s="167">
        <f>E17</f>
        <v>4185.4694336820348</v>
      </c>
      <c r="J17" s="167">
        <f>F17</f>
        <v>3964.5556982343496</v>
      </c>
      <c r="K17" s="167">
        <f>K16</f>
        <v>4207.7</v>
      </c>
      <c r="L17" s="168">
        <f>(B5-I17)/I17</f>
        <v>5.3113674989637531E-3</v>
      </c>
      <c r="M17" s="168">
        <f>(B5-J17)/J17</f>
        <v>6.1329520953366023E-2</v>
      </c>
    </row>
    <row r="18" spans="1:17" ht="14.25" customHeight="1" x14ac:dyDescent="0.3">
      <c r="A18" s="169"/>
      <c r="B18" s="19"/>
      <c r="C18" s="170"/>
      <c r="D18" s="19"/>
      <c r="E18" s="19"/>
      <c r="F18" s="19"/>
      <c r="G18" s="19"/>
      <c r="H18" s="19"/>
      <c r="I18" s="19"/>
      <c r="J18" s="19"/>
      <c r="K18" s="19"/>
      <c r="L18" s="19"/>
      <c r="M18" s="171"/>
      <c r="N18" s="19"/>
      <c r="O18" s="172"/>
      <c r="P18" s="172"/>
      <c r="Q18" s="172"/>
    </row>
    <row r="19" spans="1:17" ht="14.25" customHeight="1" x14ac:dyDescent="0.3">
      <c r="A19" s="169"/>
      <c r="B19" s="19"/>
      <c r="C19" s="170"/>
      <c r="D19" s="19"/>
      <c r="E19" s="19"/>
      <c r="F19" s="19"/>
      <c r="G19" s="19"/>
      <c r="H19" s="19"/>
      <c r="I19" s="19"/>
      <c r="J19" s="19"/>
      <c r="K19" s="19"/>
      <c r="L19" s="19"/>
      <c r="M19" s="171"/>
      <c r="N19" s="19"/>
      <c r="O19" s="314" t="s">
        <v>814</v>
      </c>
      <c r="P19" s="314" t="s">
        <v>788</v>
      </c>
      <c r="Q19" s="314" t="s">
        <v>815</v>
      </c>
    </row>
    <row r="20" spans="1:17" ht="14.25" customHeight="1" x14ac:dyDescent="0.3">
      <c r="A20" s="19" t="s">
        <v>816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72">
        <f>MAX(K6:K9)</f>
        <v>5.7388859832635983</v>
      </c>
      <c r="P20" s="172">
        <f>MAX(L6:L9)</f>
        <v>71.642764015645369</v>
      </c>
      <c r="Q20" s="172">
        <f>MAX(J6:J9)</f>
        <v>58.36666666666666</v>
      </c>
    </row>
    <row r="21" spans="1:17" ht="14.25" customHeight="1" x14ac:dyDescent="0.3">
      <c r="A21" s="19" t="s">
        <v>817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73">
        <f>QUARTILE(K6:K9,3)</f>
        <v>3.4537544176265991</v>
      </c>
      <c r="P21" s="173">
        <f>QUARTILE(L6:L9,3)</f>
        <v>47.018470582517502</v>
      </c>
      <c r="Q21" s="173">
        <f>QUARTILE(J6:J9,3)</f>
        <v>46.285486891385766</v>
      </c>
    </row>
    <row r="22" spans="1:17" ht="14.25" customHeight="1" x14ac:dyDescent="0.3">
      <c r="A22" s="174" t="s">
        <v>818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72">
        <f>AVERAGE(K6:K9)</f>
        <v>2.8031878670623716</v>
      </c>
      <c r="P22" s="172">
        <f>AVERAGE(L6:L9)</f>
        <v>33.167867376894151</v>
      </c>
      <c r="Q22" s="172">
        <f>AVERAGE(J6:J9)</f>
        <v>38.398802143871883</v>
      </c>
    </row>
    <row r="23" spans="1:17" ht="14.25" customHeight="1" x14ac:dyDescent="0.3">
      <c r="A23" s="174" t="s">
        <v>819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72"/>
      <c r="M23" s="19"/>
      <c r="N23" s="19"/>
      <c r="O23" s="172">
        <f>MEDIAN(K6:K9)</f>
        <v>2.2749535950147726</v>
      </c>
      <c r="P23" s="172">
        <f>MEDIAN(L6:L9)</f>
        <v>25.003177457166011</v>
      </c>
      <c r="Q23" s="172">
        <f>MEDIAN(J6:J9)</f>
        <v>36.372070626003207</v>
      </c>
    </row>
    <row r="24" spans="1:17" ht="14.25" customHeight="1" x14ac:dyDescent="0.3">
      <c r="A24" s="19" t="s">
        <v>820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72">
        <f>QUARTILE(K6:K9,1)</f>
        <v>1.6243870444505448</v>
      </c>
      <c r="P24" s="172">
        <f>QUARTILE(L6:L9,1)</f>
        <v>11.152574251542656</v>
      </c>
      <c r="Q24" s="172">
        <f>QUARTILE(J6:J9,1)</f>
        <v>28.485385878489328</v>
      </c>
    </row>
    <row r="25" spans="1:17" ht="14.25" customHeight="1" x14ac:dyDescent="0.3">
      <c r="A25" s="19" t="s">
        <v>821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72">
        <f>MIN(K6:K9)</f>
        <v>0.9239582949563423</v>
      </c>
      <c r="P25" s="172">
        <f>MIN(L6:L9)</f>
        <v>11.022350577599196</v>
      </c>
      <c r="Q25" s="172">
        <f>MIN(J6:J9)</f>
        <v>22.484400656814451</v>
      </c>
    </row>
    <row r="26" spans="1:17" ht="14.25" customHeight="1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</row>
    <row r="27" spans="1:17" ht="14.25" customHeight="1" x14ac:dyDescent="0.3">
      <c r="A27" s="315" t="s">
        <v>822</v>
      </c>
      <c r="B27" s="315"/>
      <c r="C27" s="315"/>
      <c r="D27" s="315"/>
      <c r="E27" s="315"/>
      <c r="F27" s="315"/>
      <c r="G27" s="315"/>
      <c r="H27" s="315"/>
      <c r="I27" s="315"/>
      <c r="J27" s="315"/>
      <c r="K27" s="315"/>
      <c r="L27" s="315"/>
      <c r="M27" s="315"/>
      <c r="N27" s="315"/>
      <c r="O27" s="314" t="s">
        <v>814</v>
      </c>
      <c r="P27" s="314" t="s">
        <v>788</v>
      </c>
      <c r="Q27" s="314" t="s">
        <v>815</v>
      </c>
    </row>
    <row r="28" spans="1:17" ht="14.25" customHeight="1" x14ac:dyDescent="0.3">
      <c r="A28" s="285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314" t="s">
        <v>823</v>
      </c>
      <c r="P28" s="314"/>
      <c r="Q28" s="314"/>
    </row>
    <row r="29" spans="1:17" ht="14.25" customHeight="1" x14ac:dyDescent="0.3">
      <c r="A29" s="19" t="s">
        <v>824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73">
        <f>O22*F5</f>
        <v>716871.70742986875</v>
      </c>
      <c r="P29" s="173">
        <f>P22*G5</f>
        <v>876783.9504626795</v>
      </c>
      <c r="Q29" s="173">
        <f>Q22*I5*C5</f>
        <v>575585.75651995349</v>
      </c>
    </row>
    <row r="30" spans="1:17" ht="14.25" customHeight="1" x14ac:dyDescent="0.3">
      <c r="A30" s="19" t="s">
        <v>825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73">
        <f>E5-D5</f>
        <v>63233.380000000005</v>
      </c>
      <c r="P30" s="173">
        <f>E5-D5</f>
        <v>63233.380000000005</v>
      </c>
      <c r="Q30" s="173">
        <f>E5-D5</f>
        <v>63233.380000000005</v>
      </c>
    </row>
    <row r="31" spans="1:17" ht="14.25" customHeight="1" x14ac:dyDescent="0.3">
      <c r="A31" s="19" t="s">
        <v>826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73">
        <f>O29-O30</f>
        <v>653638.32742986875</v>
      </c>
      <c r="P31" s="173">
        <f>P29-P30</f>
        <v>813550.57046267949</v>
      </c>
      <c r="Q31" s="173">
        <f>Q29-Q30</f>
        <v>512352.37651995348</v>
      </c>
    </row>
    <row r="32" spans="1:17" ht="14.25" customHeight="1" x14ac:dyDescent="0.3">
      <c r="A32" s="19" t="s">
        <v>827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73">
        <f>C5</f>
        <v>137.52000000000001</v>
      </c>
      <c r="P32" s="173">
        <f>C5</f>
        <v>137.52000000000001</v>
      </c>
      <c r="Q32" s="173">
        <f>C5</f>
        <v>137.52000000000001</v>
      </c>
    </row>
    <row r="33" spans="1:17" ht="14.25" customHeight="1" x14ac:dyDescent="0.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</row>
    <row r="34" spans="1:17" ht="14.25" customHeight="1" x14ac:dyDescent="0.3">
      <c r="A34" s="175" t="s">
        <v>828</v>
      </c>
      <c r="B34" s="176"/>
      <c r="C34" s="176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6"/>
      <c r="O34" s="177">
        <f>O31/O32</f>
        <v>4753.0419388443042</v>
      </c>
      <c r="P34" s="177">
        <f>P31/P32</f>
        <v>5915.8709312294895</v>
      </c>
      <c r="Q34" s="177">
        <f>Q22*I5</f>
        <v>4185.4694336820348</v>
      </c>
    </row>
    <row r="42" spans="1:17" ht="14.25" customHeight="1" x14ac:dyDescent="0.3">
      <c r="A42" s="178"/>
      <c r="B42" s="179"/>
      <c r="C42" s="180"/>
      <c r="D42" s="180"/>
      <c r="E42" s="180"/>
      <c r="F42" s="180"/>
      <c r="G42" s="180"/>
      <c r="H42" s="180"/>
      <c r="I42" s="180"/>
      <c r="J42" s="180"/>
      <c r="K42" s="180"/>
    </row>
    <row r="43" spans="1:17" ht="14.25" customHeight="1" x14ac:dyDescent="0.3">
      <c r="A43" s="181"/>
      <c r="B43" s="182"/>
      <c r="C43" s="183"/>
      <c r="D43" s="183"/>
      <c r="E43" s="183"/>
      <c r="F43" s="183"/>
      <c r="G43" s="183"/>
      <c r="H43" s="183"/>
      <c r="I43" s="183"/>
      <c r="J43" s="183"/>
      <c r="K43" s="183"/>
    </row>
    <row r="44" spans="1:17" ht="14.25" customHeight="1" x14ac:dyDescent="0.3">
      <c r="A44" s="181"/>
      <c r="B44" s="182"/>
      <c r="C44" s="183"/>
      <c r="D44" s="183"/>
      <c r="E44" s="183"/>
      <c r="F44" s="183"/>
      <c r="G44" s="183"/>
      <c r="H44" s="183"/>
      <c r="I44" s="183"/>
      <c r="J44" s="183"/>
      <c r="K44" s="183"/>
    </row>
    <row r="45" spans="1:17" ht="14.25" customHeight="1" x14ac:dyDescent="0.3">
      <c r="A45" s="181"/>
      <c r="B45" s="182"/>
      <c r="C45" s="183"/>
      <c r="D45" s="183"/>
      <c r="E45" s="183"/>
      <c r="F45" s="183"/>
      <c r="G45" s="183"/>
      <c r="H45" s="183"/>
      <c r="I45" s="183"/>
      <c r="J45" s="183"/>
      <c r="K45" s="183"/>
    </row>
    <row r="46" spans="1:17" ht="14.25" customHeight="1" x14ac:dyDescent="0.3">
      <c r="A46" s="181"/>
      <c r="B46" s="182"/>
      <c r="C46" s="183"/>
      <c r="D46" s="183"/>
      <c r="E46" s="183"/>
      <c r="F46" s="183"/>
      <c r="G46" s="183"/>
      <c r="H46" s="183"/>
      <c r="I46" s="183"/>
      <c r="J46" s="183"/>
      <c r="K46" s="183"/>
    </row>
    <row r="47" spans="1:17" ht="14.25" customHeight="1" x14ac:dyDescent="0.3">
      <c r="A47" s="181"/>
      <c r="B47" s="182"/>
      <c r="C47" s="183"/>
      <c r="D47" s="183"/>
      <c r="E47" s="183"/>
      <c r="F47" s="183"/>
      <c r="G47" s="183"/>
      <c r="H47" s="183"/>
      <c r="I47" s="183"/>
      <c r="J47" s="183"/>
      <c r="K47" s="183"/>
    </row>
  </sheetData>
  <mergeCells count="6">
    <mergeCell ref="A13:M13"/>
    <mergeCell ref="A1:M1"/>
    <mergeCell ref="A3:A4"/>
    <mergeCell ref="B3:E3"/>
    <mergeCell ref="F3:I3"/>
    <mergeCell ref="J3:M3"/>
  </mergeCells>
  <hyperlinks>
    <hyperlink ref="A5" r:id="rId1" xr:uid="{00000000-0004-0000-1100-000000000000}"/>
    <hyperlink ref="A6" r:id="rId2" xr:uid="{00000000-0004-0000-1100-000001000000}"/>
    <hyperlink ref="A7" r:id="rId3" xr:uid="{00000000-0004-0000-1100-000002000000}"/>
    <hyperlink ref="A8" r:id="rId4" xr:uid="{00000000-0004-0000-1100-000003000000}"/>
    <hyperlink ref="A9" r:id="rId5" xr:uid="{00000000-0004-0000-1100-000004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40"/>
  <sheetViews>
    <sheetView tabSelected="1" zoomScaleNormal="100" workbookViewId="0">
      <selection activeCell="A12" sqref="A12:J12"/>
    </sheetView>
  </sheetViews>
  <sheetFormatPr defaultColWidth="11.109375" defaultRowHeight="14.4" x14ac:dyDescent="0.3"/>
  <cols>
    <col min="1" max="1" width="13.5546875" customWidth="1"/>
    <col min="2" max="2" width="14.77734375" customWidth="1"/>
    <col min="4" max="4" width="12.5546875" customWidth="1"/>
  </cols>
  <sheetData>
    <row r="1" spans="1:10" ht="42.75" customHeight="1" x14ac:dyDescent="0.3">
      <c r="A1" s="316" t="s">
        <v>40</v>
      </c>
      <c r="B1" s="316" t="s">
        <v>41</v>
      </c>
      <c r="D1" s="321" t="s">
        <v>829</v>
      </c>
      <c r="E1" s="322" t="s">
        <v>830</v>
      </c>
      <c r="F1" s="322" t="s">
        <v>831</v>
      </c>
      <c r="G1" s="322" t="s">
        <v>832</v>
      </c>
      <c r="H1" s="322" t="s">
        <v>833</v>
      </c>
      <c r="I1" s="322" t="s">
        <v>834</v>
      </c>
      <c r="J1" s="322" t="s">
        <v>835</v>
      </c>
    </row>
    <row r="2" spans="1:10" x14ac:dyDescent="0.3">
      <c r="A2" s="317" t="s">
        <v>836</v>
      </c>
      <c r="B2" s="318" t="s">
        <v>837</v>
      </c>
      <c r="D2" s="323" t="s">
        <v>838</v>
      </c>
      <c r="E2" s="324">
        <v>285874</v>
      </c>
      <c r="F2" s="325">
        <v>18954</v>
      </c>
      <c r="G2" s="326">
        <f>(E2-E3)/E3</f>
        <v>0.1178568356182596</v>
      </c>
      <c r="H2" s="327">
        <f>(G2-G3)/G3</f>
        <v>-0.24728695028854633</v>
      </c>
      <c r="I2" s="328">
        <f>(J2-J3)/J3</f>
        <v>-1.0019409550008729E-2</v>
      </c>
      <c r="J2" s="211">
        <v>23283.7</v>
      </c>
    </row>
    <row r="3" spans="1:10" x14ac:dyDescent="0.3">
      <c r="A3" s="317" t="s">
        <v>839</v>
      </c>
      <c r="B3" s="318" t="s">
        <v>840</v>
      </c>
      <c r="D3" s="323" t="s">
        <v>841</v>
      </c>
      <c r="E3" s="324">
        <v>255734</v>
      </c>
      <c r="F3" s="325">
        <v>17673</v>
      </c>
      <c r="G3" s="326">
        <f>(E3-E4)/E4</f>
        <v>0.15657604935033217</v>
      </c>
      <c r="H3" s="327">
        <f>(G3-G4)/G4</f>
        <v>-0.23999763147465708</v>
      </c>
      <c r="I3" s="328">
        <f>(J3-J4)/J4</f>
        <v>5.3408668467185193E-2</v>
      </c>
      <c r="J3" s="211">
        <v>23519.35</v>
      </c>
    </row>
    <row r="4" spans="1:10" x14ac:dyDescent="0.3">
      <c r="A4" s="317" t="s">
        <v>842</v>
      </c>
      <c r="B4" s="318" t="s">
        <v>843</v>
      </c>
      <c r="D4" s="323" t="s">
        <v>844</v>
      </c>
      <c r="E4" s="324">
        <v>221113</v>
      </c>
      <c r="F4" s="325">
        <v>15547</v>
      </c>
      <c r="G4" s="326">
        <f>(E4-E5)/E5</f>
        <v>0.20602047550738786</v>
      </c>
      <c r="H4" s="327">
        <f>(G4-G5)/G5</f>
        <v>0.20233150062982319</v>
      </c>
      <c r="I4" s="328">
        <f>(J4-J5)/J5</f>
        <v>0.28613027261337298</v>
      </c>
      <c r="J4" s="211">
        <v>22326.9</v>
      </c>
    </row>
    <row r="5" spans="1:10" x14ac:dyDescent="0.3">
      <c r="A5" s="317" t="s">
        <v>845</v>
      </c>
      <c r="B5" s="319">
        <f>'Relative Valuation'!J5</f>
        <v>38.602752293577979</v>
      </c>
      <c r="D5" s="323" t="s">
        <v>846</v>
      </c>
      <c r="E5" s="324">
        <v>183341</v>
      </c>
      <c r="F5" s="325">
        <v>12531</v>
      </c>
      <c r="G5" s="326">
        <f>(E5-E6)/E6</f>
        <v>0.17135080915659878</v>
      </c>
      <c r="H5" s="327">
        <f>(F5-F6)/F6</f>
        <v>0.20270659372300603</v>
      </c>
      <c r="I5" s="328">
        <f>(J5-J6)/J6</f>
        <v>-6.0121101075022547E-3</v>
      </c>
      <c r="J5" s="211">
        <v>17359.75</v>
      </c>
    </row>
    <row r="6" spans="1:10" x14ac:dyDescent="0.3">
      <c r="A6" s="317" t="s">
        <v>847</v>
      </c>
      <c r="B6" s="318" t="s">
        <v>848</v>
      </c>
      <c r="D6" s="323" t="s">
        <v>849</v>
      </c>
      <c r="E6" s="324">
        <v>156521</v>
      </c>
      <c r="F6" s="325">
        <v>10419</v>
      </c>
      <c r="G6" s="326"/>
      <c r="H6" s="327"/>
      <c r="I6" s="328"/>
      <c r="J6" s="211">
        <v>17464.75</v>
      </c>
    </row>
    <row r="7" spans="1:10" x14ac:dyDescent="0.3">
      <c r="A7" s="317" t="s">
        <v>850</v>
      </c>
      <c r="B7" s="320" t="s">
        <v>851</v>
      </c>
    </row>
    <row r="8" spans="1:10" x14ac:dyDescent="0.3">
      <c r="A8" s="317" t="s">
        <v>852</v>
      </c>
      <c r="B8" s="320" t="s">
        <v>853</v>
      </c>
    </row>
    <row r="9" spans="1:10" x14ac:dyDescent="0.3">
      <c r="A9" s="317" t="s">
        <v>740</v>
      </c>
      <c r="B9" s="320" t="s">
        <v>854</v>
      </c>
    </row>
    <row r="10" spans="1:10" x14ac:dyDescent="0.3">
      <c r="A10" s="317" t="s">
        <v>855</v>
      </c>
      <c r="B10" s="318" t="s">
        <v>856</v>
      </c>
    </row>
    <row r="11" spans="1:10" ht="7.5" customHeight="1" x14ac:dyDescent="0.3"/>
    <row r="12" spans="1:10" ht="24" customHeight="1" x14ac:dyDescent="0.3">
      <c r="A12" s="335" t="s">
        <v>857</v>
      </c>
      <c r="B12" s="335"/>
      <c r="C12" s="335"/>
      <c r="D12" s="335"/>
      <c r="E12" s="335"/>
      <c r="F12" s="335"/>
      <c r="G12" s="335"/>
      <c r="H12" s="335"/>
      <c r="I12" s="335"/>
      <c r="J12" s="335"/>
    </row>
    <row r="13" spans="1:10" ht="6" customHeight="1" x14ac:dyDescent="0.3"/>
    <row r="14" spans="1:10" ht="19.5" customHeight="1" x14ac:dyDescent="0.3">
      <c r="A14" s="198" t="s">
        <v>858</v>
      </c>
      <c r="B14" s="198"/>
      <c r="C14" s="198"/>
      <c r="D14" s="198"/>
      <c r="E14" s="198"/>
      <c r="F14" s="198"/>
      <c r="G14" s="198"/>
      <c r="H14" s="198"/>
      <c r="I14" s="198"/>
      <c r="J14" s="198"/>
    </row>
    <row r="15" spans="1:10" ht="42" customHeight="1" x14ac:dyDescent="0.3">
      <c r="A15" s="199" t="s">
        <v>859</v>
      </c>
      <c r="B15" s="199"/>
      <c r="C15" s="199"/>
      <c r="D15" s="199"/>
      <c r="E15" s="199"/>
      <c r="F15" s="199"/>
      <c r="G15" s="199"/>
      <c r="H15" s="199"/>
      <c r="I15" s="199"/>
      <c r="J15" s="199"/>
    </row>
    <row r="16" spans="1:10" ht="42" customHeight="1" x14ac:dyDescent="0.3">
      <c r="A16" s="199" t="s">
        <v>860</v>
      </c>
      <c r="B16" s="199"/>
      <c r="C16" s="199"/>
      <c r="D16" s="199"/>
      <c r="E16" s="199"/>
      <c r="F16" s="199"/>
      <c r="G16" s="199"/>
      <c r="H16" s="199"/>
      <c r="I16" s="199"/>
      <c r="J16" s="199"/>
    </row>
    <row r="17" spans="1:10" ht="42" customHeight="1" x14ac:dyDescent="0.3">
      <c r="A17" s="199" t="s">
        <v>861</v>
      </c>
      <c r="B17" s="199"/>
      <c r="C17" s="199"/>
      <c r="D17" s="199"/>
      <c r="E17" s="199"/>
      <c r="F17" s="199"/>
      <c r="G17" s="199"/>
      <c r="H17" s="199"/>
      <c r="I17" s="199"/>
      <c r="J17" s="199"/>
    </row>
    <row r="18" spans="1:10" ht="42" customHeight="1" x14ac:dyDescent="0.3">
      <c r="A18" s="199" t="s">
        <v>862</v>
      </c>
      <c r="B18" s="199"/>
      <c r="C18" s="199"/>
      <c r="D18" s="199"/>
      <c r="E18" s="199"/>
      <c r="F18" s="199"/>
      <c r="G18" s="199"/>
      <c r="H18" s="199"/>
      <c r="I18" s="199"/>
      <c r="J18" s="199"/>
    </row>
    <row r="20" spans="1:10" ht="6" customHeight="1" x14ac:dyDescent="0.3"/>
    <row r="21" spans="1:10" ht="19.5" customHeight="1" x14ac:dyDescent="0.3">
      <c r="A21" s="334" t="s">
        <v>863</v>
      </c>
      <c r="B21" s="334"/>
      <c r="C21" s="334"/>
      <c r="D21" s="334"/>
      <c r="E21" s="334"/>
      <c r="F21" s="334"/>
      <c r="G21" s="334"/>
      <c r="H21" s="334"/>
      <c r="I21" s="334"/>
      <c r="J21" s="334"/>
    </row>
    <row r="22" spans="1:10" ht="36" customHeight="1" x14ac:dyDescent="0.3">
      <c r="A22" s="199" t="s">
        <v>864</v>
      </c>
      <c r="B22" s="199"/>
      <c r="C22" s="199"/>
      <c r="D22" s="199"/>
      <c r="E22" s="199"/>
      <c r="F22" s="199"/>
      <c r="G22" s="199"/>
      <c r="H22" s="199"/>
      <c r="I22" s="199"/>
      <c r="J22" s="199"/>
    </row>
    <row r="23" spans="1:10" ht="36" customHeight="1" x14ac:dyDescent="0.3">
      <c r="A23" s="199" t="s">
        <v>865</v>
      </c>
      <c r="B23" s="199"/>
      <c r="C23" s="199"/>
      <c r="D23" s="199"/>
      <c r="E23" s="199"/>
      <c r="F23" s="199"/>
      <c r="G23" s="199"/>
      <c r="H23" s="199"/>
      <c r="I23" s="199"/>
      <c r="J23" s="199"/>
    </row>
    <row r="24" spans="1:10" ht="36" customHeight="1" x14ac:dyDescent="0.3">
      <c r="A24" s="199" t="s">
        <v>866</v>
      </c>
      <c r="B24" s="199"/>
      <c r="C24" s="199"/>
      <c r="D24" s="199"/>
      <c r="E24" s="199"/>
      <c r="F24" s="199"/>
      <c r="G24" s="199"/>
      <c r="H24" s="199"/>
      <c r="I24" s="199"/>
      <c r="J24" s="199"/>
    </row>
    <row r="26" spans="1:10" ht="6" customHeight="1" x14ac:dyDescent="0.3"/>
    <row r="27" spans="1:10" ht="19.5" customHeight="1" x14ac:dyDescent="0.3">
      <c r="A27" s="331" t="s">
        <v>867</v>
      </c>
      <c r="B27" s="331"/>
      <c r="C27" s="331"/>
      <c r="D27" s="331"/>
      <c r="E27" s="331"/>
      <c r="F27" s="331"/>
      <c r="G27" s="331"/>
      <c r="H27" s="331"/>
      <c r="I27" s="331"/>
      <c r="J27" s="331"/>
    </row>
    <row r="28" spans="1:10" ht="18" customHeight="1" x14ac:dyDescent="0.3">
      <c r="A28" s="332" t="s">
        <v>868</v>
      </c>
      <c r="B28" s="332"/>
      <c r="C28" s="332"/>
      <c r="D28" s="332"/>
      <c r="E28" s="332" t="s">
        <v>869</v>
      </c>
      <c r="F28" s="332"/>
      <c r="G28" s="332"/>
      <c r="H28" s="332"/>
      <c r="I28" s="332"/>
      <c r="J28" s="333"/>
    </row>
    <row r="29" spans="1:10" ht="18" customHeight="1" x14ac:dyDescent="0.3">
      <c r="A29" s="200" t="s">
        <v>870</v>
      </c>
      <c r="B29" s="200"/>
      <c r="C29" s="200"/>
      <c r="D29" s="200"/>
      <c r="E29" s="201">
        <f>'Relative Valuation'!B5</f>
        <v>4207.7</v>
      </c>
      <c r="F29" s="201"/>
      <c r="G29" s="201"/>
      <c r="H29" s="202" t="s">
        <v>871</v>
      </c>
      <c r="I29" s="202"/>
    </row>
    <row r="30" spans="1:10" ht="18" customHeight="1" x14ac:dyDescent="0.3">
      <c r="A30" s="203" t="s">
        <v>872</v>
      </c>
      <c r="B30" s="203"/>
      <c r="C30" s="203"/>
      <c r="D30" s="203"/>
      <c r="E30" s="204">
        <f>'Relative Valuation'!I17</f>
        <v>4185.4694336820348</v>
      </c>
      <c r="F30" s="204"/>
      <c r="G30" s="204"/>
      <c r="H30" s="205">
        <f>(E30-E29)/E29</f>
        <v>-5.2833059196152263E-3</v>
      </c>
      <c r="I30" s="205"/>
    </row>
    <row r="31" spans="1:10" ht="18" customHeight="1" x14ac:dyDescent="0.3">
      <c r="A31" s="203" t="s">
        <v>873</v>
      </c>
      <c r="B31" s="203"/>
      <c r="C31" s="203"/>
      <c r="D31" s="203"/>
      <c r="E31" s="204">
        <f>'Relative Valuation'!I15</f>
        <v>4753.0419388443042</v>
      </c>
      <c r="F31" s="204"/>
      <c r="G31" s="204"/>
      <c r="H31" s="205">
        <f>(E31-E29)/E29</f>
        <v>0.12960570830722354</v>
      </c>
      <c r="I31" s="205"/>
    </row>
    <row r="32" spans="1:10" ht="18" customHeight="1" x14ac:dyDescent="0.3">
      <c r="A32" s="203" t="s">
        <v>874</v>
      </c>
      <c r="B32" s="203"/>
      <c r="C32" s="203"/>
      <c r="D32" s="203"/>
      <c r="E32" s="204">
        <f>'Relative Valuation'!I16</f>
        <v>5915.8709312294895</v>
      </c>
      <c r="F32" s="204"/>
      <c r="G32" s="204"/>
      <c r="H32" s="205">
        <f>(E32-E29)/E29</f>
        <v>0.40596309889713855</v>
      </c>
      <c r="I32" s="205"/>
    </row>
    <row r="33" spans="1:10" ht="18" customHeight="1" x14ac:dyDescent="0.3">
      <c r="A33" s="203" t="s">
        <v>875</v>
      </c>
      <c r="B33" s="203"/>
      <c r="C33" s="203"/>
      <c r="D33" s="203"/>
      <c r="E33" s="204">
        <f>'DCF Valuation'!C30</f>
        <v>1187.7334468730785</v>
      </c>
      <c r="F33" s="204"/>
      <c r="G33" s="204"/>
      <c r="H33" s="205">
        <f>(E33-E29)/E29</f>
        <v>-0.71772382848751604</v>
      </c>
      <c r="I33" s="205"/>
    </row>
    <row r="35" spans="1:10" ht="7.5" customHeight="1" x14ac:dyDescent="0.3"/>
    <row r="36" spans="1:10" ht="25.5" customHeight="1" x14ac:dyDescent="0.3">
      <c r="A36" s="330" t="s">
        <v>876</v>
      </c>
      <c r="B36" s="330"/>
      <c r="C36" s="330"/>
      <c r="D36" s="330"/>
      <c r="E36" s="330"/>
      <c r="F36" s="330"/>
      <c r="G36" s="330"/>
      <c r="H36" s="330"/>
      <c r="I36" s="330"/>
      <c r="J36" s="330"/>
    </row>
    <row r="37" spans="1:10" ht="6" customHeight="1" x14ac:dyDescent="0.3"/>
    <row r="38" spans="1:10" ht="57.75" customHeight="1" x14ac:dyDescent="0.3">
      <c r="A38" s="206" t="s">
        <v>877</v>
      </c>
      <c r="B38" s="206"/>
      <c r="C38" s="206"/>
      <c r="D38" s="206"/>
      <c r="E38" s="206"/>
      <c r="F38" s="206"/>
      <c r="G38" s="206"/>
      <c r="H38" s="206"/>
      <c r="I38" s="206"/>
      <c r="J38" s="206"/>
    </row>
    <row r="39" spans="1:10" ht="42" customHeight="1" x14ac:dyDescent="0.3">
      <c r="A39" s="329" t="s">
        <v>878</v>
      </c>
      <c r="B39" s="329"/>
      <c r="C39" s="329"/>
      <c r="D39" s="329"/>
      <c r="E39" s="329"/>
      <c r="F39" s="329"/>
      <c r="G39" s="329"/>
      <c r="H39" s="329"/>
      <c r="I39" s="329"/>
      <c r="J39" s="329"/>
    </row>
    <row r="40" spans="1:10" ht="24" customHeight="1" x14ac:dyDescent="0.3">
      <c r="A40" s="207"/>
      <c r="B40" s="207"/>
      <c r="C40" s="207"/>
      <c r="D40" s="207"/>
      <c r="E40" s="207"/>
      <c r="F40" s="207"/>
      <c r="G40" s="207"/>
      <c r="H40" s="207"/>
      <c r="I40" s="207"/>
      <c r="J40" s="207"/>
    </row>
  </sheetData>
  <mergeCells count="32">
    <mergeCell ref="A36:J36"/>
    <mergeCell ref="A38:J38"/>
    <mergeCell ref="A39:J39"/>
    <mergeCell ref="A40:J40"/>
    <mergeCell ref="A32:D32"/>
    <mergeCell ref="E32:G32"/>
    <mergeCell ref="H32:I32"/>
    <mergeCell ref="A33:D33"/>
    <mergeCell ref="E33:G33"/>
    <mergeCell ref="H33:I33"/>
    <mergeCell ref="A30:D30"/>
    <mergeCell ref="E30:G30"/>
    <mergeCell ref="H30:I30"/>
    <mergeCell ref="A31:D31"/>
    <mergeCell ref="E31:G31"/>
    <mergeCell ref="H31:I31"/>
    <mergeCell ref="A27:J27"/>
    <mergeCell ref="A28:D28"/>
    <mergeCell ref="E28:I28"/>
    <mergeCell ref="A29:D29"/>
    <mergeCell ref="E29:G29"/>
    <mergeCell ref="H29:I29"/>
    <mergeCell ref="A18:J18"/>
    <mergeCell ref="A21:J21"/>
    <mergeCell ref="A22:J22"/>
    <mergeCell ref="A23:J23"/>
    <mergeCell ref="A24:J24"/>
    <mergeCell ref="A12:J12"/>
    <mergeCell ref="A14:J14"/>
    <mergeCell ref="A15:J15"/>
    <mergeCell ref="A16:J16"/>
    <mergeCell ref="A17:J17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About the company </vt:lpstr>
      <vt:lpstr>Promoter</vt:lpstr>
      <vt:lpstr>Public</vt:lpstr>
      <vt:lpstr>Consolidated P&amp;L</vt:lpstr>
      <vt:lpstr>Consolidated Balance sheet</vt:lpstr>
      <vt:lpstr>Consolidated Cash flow </vt:lpstr>
      <vt:lpstr>Consolidated Quarterly Result</vt:lpstr>
      <vt:lpstr>Beta</vt:lpstr>
      <vt:lpstr>Wacc</vt:lpstr>
      <vt:lpstr>Ratio Analysis</vt:lpstr>
      <vt:lpstr>FCFF</vt:lpstr>
      <vt:lpstr>Change in working capital</vt:lpstr>
      <vt:lpstr>Fixed Assets scheduled</vt:lpstr>
      <vt:lpstr>Assumptions</vt:lpstr>
      <vt:lpstr>Forecasting</vt:lpstr>
      <vt:lpstr>Growth Scenario</vt:lpstr>
      <vt:lpstr>DCF Valuation</vt:lpstr>
      <vt:lpstr>Relative Valuation</vt:lpstr>
      <vt:lpstr>Stock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PRATHAM KUSHWAHA</dc:creator>
  <dc:description/>
  <cp:lastModifiedBy>PRATHAM KUSHWAHA</cp:lastModifiedBy>
  <cp:revision>0</cp:revision>
  <dcterms:created xsi:type="dcterms:W3CDTF">2026-06-16T08:49:25Z</dcterms:created>
  <dcterms:modified xsi:type="dcterms:W3CDTF">2026-06-29T07:52:01Z</dcterms:modified>
  <dc:language>en-US</dc:language>
</cp:coreProperties>
</file>